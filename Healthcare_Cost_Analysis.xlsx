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brittniechenier/Desktop/Data Analysis Projects/1 - EDA w: Linear Regression/"/>
    </mc:Choice>
  </mc:AlternateContent>
  <xr:revisionPtr revIDLastSave="0" documentId="13_ncr:1_{60CAB768-CEB4-4A4C-9182-E8478F34C0F5}" xr6:coauthVersionLast="47" xr6:coauthVersionMax="47" xr10:uidLastSave="{00000000-0000-0000-0000-000000000000}"/>
  <bookViews>
    <workbookView xWindow="0" yWindow="660" windowWidth="18220" windowHeight="17380" activeTab="3" xr2:uid="{00000000-000D-0000-FFFF-FFFF00000000}"/>
  </bookViews>
  <sheets>
    <sheet name="Insurance" sheetId="1" r:id="rId1"/>
    <sheet name="Data Dictionary" sheetId="3" r:id="rId2"/>
    <sheet name="Research Questions" sheetId="4" r:id="rId3"/>
    <sheet name="Analysis" sheetId="5" r:id="rId4"/>
    <sheet name="Regression" sheetId="8" r:id="rId5"/>
    <sheet name="Findings" sheetId="6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0" roundtripDataChecksum="9/P8eIuWVyznyIm3CutC0o4Y/BATMO94skGkl6J/mAg="/>
    </ext>
  </extLst>
</workbook>
</file>

<file path=xl/calcChain.xml><?xml version="1.0" encoding="utf-8"?>
<calcChain xmlns="http://schemas.openxmlformats.org/spreadsheetml/2006/main">
  <c r="B93" i="5" l="1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10" i="5"/>
  <c r="B111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10" i="5"/>
  <c r="A111" i="5"/>
  <c r="A112" i="5"/>
  <c r="B109" i="5"/>
  <c r="A109" i="5"/>
  <c r="B95" i="5"/>
  <c r="B94" i="5"/>
  <c r="C68" i="5"/>
  <c r="C69" i="5"/>
  <c r="C70" i="5"/>
  <c r="C71" i="5"/>
  <c r="C72" i="5"/>
  <c r="B68" i="5"/>
  <c r="B69" i="5"/>
  <c r="B70" i="5"/>
  <c r="B71" i="5"/>
  <c r="B72" i="5"/>
  <c r="C67" i="5"/>
  <c r="B67" i="5"/>
  <c r="C46" i="5"/>
  <c r="B46" i="5"/>
  <c r="C45" i="5"/>
  <c r="B45" i="5"/>
  <c r="B98" i="5" s="1"/>
  <c r="B20" i="5"/>
  <c r="C13" i="5"/>
  <c r="C12" i="5"/>
  <c r="C14" i="5"/>
  <c r="C15" i="5"/>
  <c r="C11" i="5"/>
  <c r="B12" i="5"/>
  <c r="B13" i="5"/>
  <c r="B14" i="5"/>
  <c r="B15" i="5"/>
  <c r="B11" i="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2" i="1"/>
  <c r="B7" i="5"/>
  <c r="B6" i="5"/>
  <c r="B5" i="5"/>
  <c r="B4" i="5"/>
  <c r="B3" i="5"/>
</calcChain>
</file>

<file path=xl/sharedStrings.xml><?xml version="1.0" encoding="utf-8"?>
<sst xmlns="http://schemas.openxmlformats.org/spreadsheetml/2006/main" count="4152" uniqueCount="112">
  <si>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</si>
  <si>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</si>
  <si>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</si>
  <si>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</si>
  <si>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</si>
  <si>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</si>
  <si>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</si>
  <si>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</si>
  <si>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</si>
  <si>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</si>
  <si>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</si>
  <si>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</si>
  <si>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</si>
  <si>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</si>
  <si>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</si>
  <si>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Column</t>
  </si>
  <si>
    <t>Meaning</t>
  </si>
  <si>
    <t>Data Type</t>
  </si>
  <si>
    <t>age of the individual</t>
  </si>
  <si>
    <t>sex of the individual</t>
  </si>
  <si>
    <t>body mass index</t>
  </si>
  <si>
    <t>number of children/dependents</t>
  </si>
  <si>
    <t>smoking status</t>
  </si>
  <si>
    <t>geographic region</t>
  </si>
  <si>
    <t>medical insurance charges</t>
  </si>
  <si>
    <t>Numeric</t>
  </si>
  <si>
    <t>Categorical</t>
  </si>
  <si>
    <t>Healthcare Cost Analysis - Research Questions</t>
  </si>
  <si>
    <t>1. How do medical insurance charges vary by age?</t>
  </si>
  <si>
    <t>2. How does BMI relate to medical insurance charges?</t>
  </si>
  <si>
    <t>3. Are insurance charges different between smokers and non-smokers?</t>
  </si>
  <si>
    <t>5. Does age, BMI, smoking status, or number of children have the strongest relationship with insurance charges?</t>
  </si>
  <si>
    <t xml:space="preserve">6. Can age and BMI be used to predict insurance charges? </t>
  </si>
  <si>
    <t>Mean Charges</t>
  </si>
  <si>
    <t>Median Charges</t>
  </si>
  <si>
    <t>Minimum Charges</t>
  </si>
  <si>
    <t>Maximum Charges</t>
  </si>
  <si>
    <t>Standard Deviation</t>
  </si>
  <si>
    <t>Age Group</t>
  </si>
  <si>
    <t>Number of Records</t>
  </si>
  <si>
    <t>Average Charges</t>
  </si>
  <si>
    <t>18-29</t>
  </si>
  <si>
    <t>30-39</t>
  </si>
  <si>
    <t>40-49</t>
  </si>
  <si>
    <t>50-59</t>
  </si>
  <si>
    <t>60+</t>
  </si>
  <si>
    <t>age group</t>
  </si>
  <si>
    <t>Correlation between BMI and Charges</t>
  </si>
  <si>
    <t>*the age groups aren't equally represented</t>
  </si>
  <si>
    <t>weak positive relationship</t>
  </si>
  <si>
    <r>
      <rPr>
        <b/>
        <i/>
        <sz val="11"/>
        <color theme="1"/>
        <rFont val="Calibri (Body)"/>
      </rPr>
      <t>Insurance charges increased</t>
    </r>
    <r>
      <rPr>
        <i/>
        <sz val="11"/>
        <color theme="1"/>
        <rFont val="Calibri (Body)"/>
      </rPr>
      <t xml:space="preserve"> across every age group in this dataset. The average rose from $9,182.49 for ages 18–29 to $21,248.02 for ages 60+.</t>
    </r>
  </si>
  <si>
    <r>
      <rPr>
        <sz val="11"/>
        <color theme="1"/>
        <rFont val="Calibri"/>
        <family val="2"/>
        <scheme val="minor"/>
      </rPr>
      <t xml:space="preserve">BMI has a </t>
    </r>
    <r>
      <rPr>
        <b/>
        <i/>
        <sz val="11"/>
        <color theme="1"/>
        <rFont val="Calibri"/>
        <family val="2"/>
        <scheme val="minor"/>
      </rPr>
      <t>weak positive relationship</t>
    </r>
    <r>
      <rPr>
        <i/>
        <sz val="11"/>
        <color theme="1"/>
        <rFont val="Calibri"/>
        <family val="2"/>
        <scheme val="minor"/>
      </rPr>
      <t xml:space="preserve"> with insurance charges (r=0.1983)</t>
    </r>
  </si>
  <si>
    <t>Smoking Status</t>
  </si>
  <si>
    <t>Average insurance charges were substantially higher for smokers ($32,050) than for non-smokers ($8,434) in this dataset.</t>
  </si>
  <si>
    <r>
      <rPr>
        <b/>
        <i/>
        <sz val="11"/>
        <color theme="1"/>
        <rFont val="Calibri"/>
        <family val="2"/>
        <scheme val="minor"/>
      </rPr>
      <t>Average insurance charges were substantially higher for smokers</t>
    </r>
    <r>
      <rPr>
        <i/>
        <sz val="11"/>
        <color theme="1"/>
        <rFont val="Calibri"/>
        <family val="2"/>
        <scheme val="minor"/>
      </rPr>
      <t xml:space="preserve"> ($32,050) than for non-smokers ($8,434) in this dataset.</t>
    </r>
  </si>
  <si>
    <t>4. How do insurance charges vary by number of children?</t>
  </si>
  <si>
    <t>Number of Children</t>
  </si>
  <si>
    <t>Average insurance charges varied by number of children. Charges were highest for individuals with 3 children ($15,355), followed by those with 2 children ($15,074). Individuals with 5 children had the lowest average charges ($8,786). The 4- and 5-child groups had relatively few records, so those averages should be interpreted cautiously</t>
  </si>
  <si>
    <t>Variable</t>
  </si>
  <si>
    <t>Correlation with Charges</t>
  </si>
  <si>
    <t>Age</t>
  </si>
  <si>
    <t>BMI</t>
  </si>
  <si>
    <t>Children</t>
  </si>
  <si>
    <t>Group Difference in Average Charges</t>
  </si>
  <si>
    <t>Smoker vs Non-smoker</t>
  </si>
  <si>
    <t>Age had the strongest correlation with insurance charges among the numberical variables examines (r = 0.2990), followed by BMI (r = 0.1983) and number of children (r = 0.0680). Smoking status showed a much larger difference in average charges between groups, with smokers averaging about $23,616 more than non-smokers.</t>
  </si>
  <si>
    <t>Dependent Variable</t>
  </si>
  <si>
    <t>Insurance Charges</t>
  </si>
  <si>
    <t>Predictor 1</t>
  </si>
  <si>
    <t>Predictor 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</si>
  <si>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</si>
  <si>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</si>
  <si>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</si>
  <si>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</si>
  <si>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</si>
  <si>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</si>
  <si>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</si>
  <si>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</si>
  <si>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</si>
  <si>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</si>
  <si>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</si>
  <si>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</si>
  <si>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</si>
  <si>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</si>
  <si>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</si>
  <si>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</si>
  <si>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</si>
  <si>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</si>
  <si>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</si>
  <si>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</si>
  <si>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</si>
  <si>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</si>
  <si>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</si>
  <si>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</si>
  <si>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Age and BMI were statistically significant predictors of insurance charges in the regression model, but together they explained only 11.8% of the variation in charges. This suggests that age and BMI provide some predictive information, but they are not sufficient on their own to strongly predict individual insurance charges</t>
  </si>
  <si>
    <t>Key Findings</t>
  </si>
  <si>
    <t>1. Age and Insurance Charges</t>
  </si>
  <si>
    <t>Average insurance charges increased across every age group, from $9,182 for individuals ages 18–29 to $21,248 for individuals age 60+. This shows a clear positive pattern between age group and average charges in this dataset.</t>
  </si>
  <si>
    <t>2. BMI and Insurance Charges</t>
  </si>
  <si>
    <t>BMI had a weak positive relationship with insurance charges (r = 0.1983), indicating that BMI alone had a limited relationship with charges in this dataset.</t>
  </si>
  <si>
    <t>3. Smoking Status and Insurance Charges</t>
  </si>
  <si>
    <t>4. Number of Children and Insurance Charges</t>
  </si>
  <si>
    <t>Average charges varied by number of children. Charges were highest among individuals with 3 children ($15,355). The 4- and 5-child groups had relatively few records, so those averages should be interpreted cautiously.</t>
  </si>
  <si>
    <t>5. Comparing Variables</t>
  </si>
  <si>
    <t>Among the numerical variables examined, age had the strongest correlation with insurance charges (r = 0.2990), followed by BMI (r = 0.1983) and number of children (r = 0.0680). Smoking status showed a substantially larger difference in average charges between smokers and non-smokers.</t>
  </si>
  <si>
    <t>6. Predicting Insurance Charges</t>
  </si>
  <si>
    <t>Age and BMI were statistically significant predictors of insurance charges, but together they explained only 11.8% of the variation in charges. This indicates that other factors likely contribute substantially to differences in insurance costs.</t>
  </si>
  <si>
    <t>Project Title</t>
  </si>
  <si>
    <t>Healthcare Insurance Charges: Exploratory Data Analysis &amp; Statistical Analysis</t>
  </si>
  <si>
    <t>Objective</t>
  </si>
  <si>
    <t>Analyze insurance charges and examine how charges vary across age, BMI, smoking status, and number of children.</t>
  </si>
  <si>
    <t>Regression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</si>
</sst>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;[Red]&quot;$&quot;#,##0.00"/>
    <numFmt numFmtId="169" formatCode="0.0000;[Red]0.0000"/>
    <numFmt numFmtId="174" formatCode="0.0000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-webkit-standard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(Body)"/>
    </font>
    <font>
      <b/>
      <i/>
      <sz val="11"/>
      <color theme="1"/>
      <name val="Calibri (Body)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0" xfId="0" applyFont="1"/>
    <xf numFmtId="44" fontId="0" fillId="0" borderId="0" xfId="1" applyFont="1"/>
    <xf numFmtId="0" fontId="5" fillId="0" borderId="0" xfId="0" applyFont="1"/>
    <xf numFmtId="0" fontId="8" fillId="0" borderId="0" xfId="0" applyFont="1"/>
    <xf numFmtId="0" fontId="1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8" fillId="0" borderId="3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Continuous"/>
    </xf>
    <xf numFmtId="0" fontId="1" fillId="0" borderId="0" xfId="0" applyFont="1" applyFill="1" applyBorder="1" applyAlignment="1"/>
    <xf numFmtId="0" fontId="1" fillId="0" borderId="2" xfId="0" applyFont="1" applyFill="1" applyBorder="1" applyAlignment="1"/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169" fontId="0" fillId="0" borderId="0" xfId="0" applyNumberFormat="1"/>
    <xf numFmtId="174" fontId="0" fillId="0" borderId="0" xfId="0" applyNumberFormat="1"/>
    <xf numFmtId="0" fontId="6" fillId="0" borderId="0" xfId="0" applyFont="1" applyAlignment="1">
      <alignment wrapText="1"/>
    </xf>
    <xf numFmtId="0" fontId="1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Insurance Charges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Average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Analysis!$A$11:$A$15</c:f>
              <c:strCache>
                <c:ptCount val="5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Analysis!$B$11:$B$15</c:f>
              <c:numCache>
                <c:formatCode>_("$"* #,##0.00_);_("$"* \(#,##0.00\);_("$"* "-"??_);_(@_)</c:formatCode>
                <c:ptCount val="5"/>
                <c:pt idx="0">
                  <c:v>9182.4871251534732</c:v>
                </c:pt>
                <c:pt idx="1">
                  <c:v>11738.784117354091</c:v>
                </c:pt>
                <c:pt idx="2">
                  <c:v>14399.203563870966</c:v>
                </c:pt>
                <c:pt idx="3">
                  <c:v>16495.232664981537</c:v>
                </c:pt>
                <c:pt idx="4">
                  <c:v>21248.021884912272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2-A845-B74D-26470182B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693375"/>
        <c:axId val="1085699199"/>
      </c:barChart>
      <c:catAx>
        <c:axId val="108569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99199"/>
        <c:crosses val="autoZero"/>
        <c:auto val="1"/>
        <c:lblAlgn val="ctr"/>
        <c:lblOffset val="100"/>
        <c:noMultiLvlLbl val="0"/>
      </c:catAx>
      <c:valAx>
        <c:axId val="108569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9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 vs. Insurance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Insurance!$G$1</c:f>
              <c:strCache>
                <c:ptCount val="1"/>
                <c:pt idx="0">
                  <c:v>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Insurance!$C$2:$C$1339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Insurance!$G$2:$G$1339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8-794B-BFE4-B54000888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561599"/>
        <c:axId val="1085228799"/>
      </c:scatterChart>
      <c:valAx>
        <c:axId val="121456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28799"/>
        <c:crosses val="autoZero"/>
        <c:crossBetween val="midCat"/>
      </c:valAx>
      <c:valAx>
        <c:axId val="108522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Insurance 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56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Insurance</a:t>
            </a:r>
            <a:r>
              <a:rPr lang="en-US" baseline="0"/>
              <a:t> </a:t>
            </a:r>
            <a:r>
              <a:rPr lang="en-US"/>
              <a:t>Charges by Smoking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Analysis!$B$44</c:f>
              <c:strCache>
                <c:ptCount val="1"/>
                <c:pt idx="0">
                  <c:v>Average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A8-A745-BA22-3EFC5785D183}"/>
              </c:ext>
            </c:extLst>
          </c:dPt>
          <c:cat>
            <c:strRef>
              <c:f>Analysis!$A$45:$A$46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Analysis!$B$45:$B$46</c:f>
              <c:numCache>
                <c:formatCode>_("$"* #,##0.00_);_("$"* \(#,##0.00\);_("$"* "-"??_);_(@_)</c:formatCode>
                <c:ptCount val="2"/>
                <c:pt idx="0">
                  <c:v>32050.231831532848</c:v>
                </c:pt>
                <c:pt idx="1">
                  <c:v>8434.2682978561988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8-A745-BA22-3EFC5785D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7852415"/>
        <c:axId val="1377847935"/>
      </c:barChart>
      <c:catAx>
        <c:axId val="137785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Smoking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47935"/>
        <c:crosses val="autoZero"/>
        <c:auto val="1"/>
        <c:lblAlgn val="ctr"/>
        <c:lblOffset val="100"/>
        <c:noMultiLvlLbl val="0"/>
      </c:catAx>
      <c:valAx>
        <c:axId val="137784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Insurance Charges by Number of Children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Analysis!$A$67:$A$73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Analysis!$A$67:$A$73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Analysis!$A$67:$A$72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9-2046-B305-9085ABA79049}"/>
            </c:ext>
          </c:extLst>
        </c:ser>
        <c:ser>
          <c:idx val="1"/>
          <c:order val="1"/>
          <c:tx>
            <c:strRef>
              <c:f>Analysis!$B$66</c:f>
              <c:strCache>
                <c:ptCount val="1"/>
                <c:pt idx="0">
                  <c:v>Average Charges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Analysis!$A$67:$A$73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Analysis!$B$67:$B$72</c:f>
              <c:numCache>
                <c:formatCode>"$"#,##0.00;[Red]"$"#,##0.00</c:formatCode>
                <c:ptCount val="6"/>
                <c:pt idx="0">
                  <c:v>12365.975601635882</c:v>
                </c:pt>
                <c:pt idx="1">
                  <c:v>12731.171831635793</c:v>
                </c:pt>
                <c:pt idx="2">
                  <c:v>15073.563733958328</c:v>
                </c:pt>
                <c:pt idx="3">
                  <c:v>15355.31836681528</c:v>
                </c:pt>
                <c:pt idx="4">
                  <c:v>13850.656311199999</c:v>
                </c:pt>
                <c:pt idx="5">
                  <c:v>8786.0352472222221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9-2046-B305-9085ABA79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046655"/>
        <c:axId val="1430315327"/>
      </c:barChart>
      <c:catAx>
        <c:axId val="1462046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Children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15327"/>
        <c:crosses val="autoZero"/>
        <c:auto val="1"/>
        <c:lblAlgn val="ctr"/>
        <c:lblOffset val="100"/>
        <c:tickLblSkip val="1"/>
        <c:noMultiLvlLbl val="0"/>
      </c:catAx>
      <c:valAx>
        <c:axId val="14303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046655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55033</xdr:colOff>
      <xdr:row>1</xdr:row>
      <xdr:rowOff>59267</xdr:rowOff>
    </xdr:from>
    <xdr:to>
      <xdr:col>6</xdr:col>
      <xdr:colOff>626533</xdr:colOff>
      <xdr:row>13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B987F-C4D2-06F0-DA37-784BB4C67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423338</xdr:colOff>
      <xdr:row>21</xdr:row>
      <xdr:rowOff>177799</xdr:rowOff>
    </xdr:from>
    <xdr:to>
      <xdr:col>4</xdr:col>
      <xdr:colOff>50799</xdr:colOff>
      <xdr:row>39</xdr:row>
      <xdr:rowOff>93133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B03E3FA-3848-BD96-B503-F0F9A1975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1032607</xdr:colOff>
      <xdr:row>46</xdr:row>
      <xdr:rowOff>194082</xdr:rowOff>
    </xdr:from>
    <xdr:to>
      <xdr:col>2</xdr:col>
      <xdr:colOff>1100340</xdr:colOff>
      <xdr:row>61</xdr:row>
      <xdr:rowOff>15631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8617E2-2326-9960-F940-8E7473AA4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859692</xdr:colOff>
      <xdr:row>72</xdr:row>
      <xdr:rowOff>64477</xdr:rowOff>
    </xdr:from>
    <xdr:to>
      <xdr:col>2</xdr:col>
      <xdr:colOff>1084059</xdr:colOff>
      <xdr:row>87</xdr:row>
      <xdr:rowOff>72943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97021F-16C6-390C-DB93-64F79BF0E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9"/>
  <sheetViews>
    <sheetView topLeftCell="A1315" zoomScale="130" zoomScaleNormal="130" workbookViewId="0">
      <selection activeCell="C1" sqref="C1:C1048576"/>
    </sheetView>
  </sheetViews>
  <sheetFormatPr baseColWidth="10" defaultColWidth="14.5" defaultRowHeight="15" customHeight="1"/>
  <cols>
    <col min="1" max="26" width="8.6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</row>
    <row r="2" spans="1:8">
      <c r="A2" s="1">
        <v>19</v>
      </c>
      <c r="B2" s="1" t="s">
        <v>7</v>
      </c>
      <c r="C2" s="9">
        <v>27.9</v>
      </c>
      <c r="D2" s="1">
        <v>0</v>
      </c>
      <c r="E2" s="1" t="s">
        <v>8</v>
      </c>
      <c r="F2" s="1" t="s">
        <v>9</v>
      </c>
      <c r="G2" s="1">
        <v>16884.923999999999</v>
      </c>
      <c r="H2" t="str">
        <f>IF(A2&lt;30,"18-29",IF(A2&lt;40,"30-39",IF(A2&lt;50,"40-49",IF(A2&lt;60,"50-59","60+"))))</f>
        <v>18-29</v>
      </c>
    </row>
    <row r="3" spans="1:8">
      <c r="A3" s="1">
        <v>18</v>
      </c>
      <c r="B3" s="1" t="s">
        <v>10</v>
      </c>
      <c r="C3" s="1">
        <v>33.770000000000003</v>
      </c>
      <c r="D3" s="1">
        <v>1</v>
      </c>
      <c r="E3" s="1" t="s">
        <v>11</v>
      </c>
      <c r="F3" s="1" t="s">
        <v>12</v>
      </c>
      <c r="G3" s="1">
        <v>1725.5523000000001</v>
      </c>
      <c r="H3" t="str">
        <f t="shared" ref="H3:H66" si="0">IF(A3&lt;30,"18-29",IF(A3&lt;40,"30-39",IF(A3&lt;50,"40-49",IF(A3&lt;60,"50-59","60+"))))</f>
        <v>18-29</v>
      </c>
    </row>
    <row r="4" spans="1:8">
      <c r="A4" s="1">
        <v>28</v>
      </c>
      <c r="B4" s="1" t="s">
        <v>10</v>
      </c>
      <c r="C4" s="1">
        <v>33</v>
      </c>
      <c r="D4" s="1">
        <v>3</v>
      </c>
      <c r="E4" s="1" t="s">
        <v>11</v>
      </c>
      <c r="F4" s="1" t="s">
        <v>12</v>
      </c>
      <c r="G4" s="1">
        <v>4449.4620000000004</v>
      </c>
      <c r="H4" t="str">
        <f t="shared" si="0"/>
        <v>18-29</v>
      </c>
    </row>
    <row r="5" spans="1:8">
      <c r="A5" s="1">
        <v>33</v>
      </c>
      <c r="B5" s="1" t="s">
        <v>10</v>
      </c>
      <c r="C5" s="1">
        <v>22.704999999999998</v>
      </c>
      <c r="D5" s="1">
        <v>0</v>
      </c>
      <c r="E5" s="1" t="s">
        <v>11</v>
      </c>
      <c r="F5" s="1" t="s">
        <v>13</v>
      </c>
      <c r="G5" s="1">
        <v>21984.47061</v>
      </c>
      <c r="H5" t="str">
        <f t="shared" si="0"/>
        <v>30-39</v>
      </c>
    </row>
    <row r="6" spans="1:8">
      <c r="A6" s="1">
        <v>32</v>
      </c>
      <c r="B6" s="1" t="s">
        <v>10</v>
      </c>
      <c r="C6" s="1">
        <v>28.88</v>
      </c>
      <c r="D6" s="1">
        <v>0</v>
      </c>
      <c r="E6" s="1" t="s">
        <v>11</v>
      </c>
      <c r="F6" s="1" t="s">
        <v>13</v>
      </c>
      <c r="G6" s="1">
        <v>3866.8552</v>
      </c>
      <c r="H6" t="str">
        <f t="shared" si="0"/>
        <v>30-39</v>
      </c>
    </row>
    <row r="7" spans="1:8">
      <c r="A7" s="1">
        <v>31</v>
      </c>
      <c r="B7" s="1" t="s">
        <v>7</v>
      </c>
      <c r="C7" s="1">
        <v>25.74</v>
      </c>
      <c r="D7" s="1">
        <v>0</v>
      </c>
      <c r="E7" s="1" t="s">
        <v>11</v>
      </c>
      <c r="F7" s="1" t="s">
        <v>12</v>
      </c>
      <c r="G7" s="1">
        <v>3756.6215999999999</v>
      </c>
      <c r="H7" t="str">
        <f t="shared" si="0"/>
        <v>30-39</v>
      </c>
    </row>
    <row r="8" spans="1:8">
      <c r="A8" s="1">
        <v>46</v>
      </c>
      <c r="B8" s="1" t="s">
        <v>7</v>
      </c>
      <c r="C8" s="1">
        <v>33.44</v>
      </c>
      <c r="D8" s="1">
        <v>1</v>
      </c>
      <c r="E8" s="1" t="s">
        <v>11</v>
      </c>
      <c r="F8" s="1" t="s">
        <v>12</v>
      </c>
      <c r="G8" s="1">
        <v>8240.5895999999993</v>
      </c>
      <c r="H8" t="str">
        <f t="shared" si="0"/>
        <v>40-49</v>
      </c>
    </row>
    <row r="9" spans="1:8">
      <c r="A9" s="1">
        <v>37</v>
      </c>
      <c r="B9" s="1" t="s">
        <v>7</v>
      </c>
      <c r="C9" s="1">
        <v>27.74</v>
      </c>
      <c r="D9" s="1">
        <v>3</v>
      </c>
      <c r="E9" s="1" t="s">
        <v>11</v>
      </c>
      <c r="F9" s="1" t="s">
        <v>13</v>
      </c>
      <c r="G9" s="1">
        <v>7281.5056000000004</v>
      </c>
      <c r="H9" t="str">
        <f t="shared" si="0"/>
        <v>30-39</v>
      </c>
    </row>
    <row r="10" spans="1:8">
      <c r="A10" s="1">
        <v>37</v>
      </c>
      <c r="B10" s="1" t="s">
        <v>10</v>
      </c>
      <c r="C10" s="1">
        <v>29.83</v>
      </c>
      <c r="D10" s="1">
        <v>2</v>
      </c>
      <c r="E10" s="1" t="s">
        <v>11</v>
      </c>
      <c r="F10" s="1" t="s">
        <v>14</v>
      </c>
      <c r="G10" s="1">
        <v>6406.4107000000004</v>
      </c>
      <c r="H10" t="str">
        <f t="shared" si="0"/>
        <v>30-39</v>
      </c>
    </row>
    <row r="11" spans="1:8">
      <c r="A11" s="1">
        <v>60</v>
      </c>
      <c r="B11" s="1" t="s">
        <v>7</v>
      </c>
      <c r="C11" s="1">
        <v>25.84</v>
      </c>
      <c r="D11" s="1">
        <v>0</v>
      </c>
      <c r="E11" s="1" t="s">
        <v>11</v>
      </c>
      <c r="F11" s="1" t="s">
        <v>13</v>
      </c>
      <c r="G11" s="1">
        <v>28923.136920000001</v>
      </c>
      <c r="H11" t="str">
        <f t="shared" si="0"/>
        <v>60+</v>
      </c>
    </row>
    <row r="12" spans="1:8">
      <c r="A12" s="1">
        <v>25</v>
      </c>
      <c r="B12" s="1" t="s">
        <v>10</v>
      </c>
      <c r="C12" s="1">
        <v>26.22</v>
      </c>
      <c r="D12" s="1">
        <v>0</v>
      </c>
      <c r="E12" s="1" t="s">
        <v>11</v>
      </c>
      <c r="F12" s="1" t="s">
        <v>14</v>
      </c>
      <c r="G12" s="1">
        <v>2721.3208</v>
      </c>
      <c r="H12" t="str">
        <f t="shared" si="0"/>
        <v>18-29</v>
      </c>
    </row>
    <row r="13" spans="1:8">
      <c r="A13" s="1">
        <v>62</v>
      </c>
      <c r="B13" s="1" t="s">
        <v>7</v>
      </c>
      <c r="C13" s="1">
        <v>26.29</v>
      </c>
      <c r="D13" s="1">
        <v>0</v>
      </c>
      <c r="E13" s="1" t="s">
        <v>8</v>
      </c>
      <c r="F13" s="1" t="s">
        <v>12</v>
      </c>
      <c r="G13" s="1">
        <v>27808.7251</v>
      </c>
      <c r="H13" t="str">
        <f t="shared" si="0"/>
        <v>60+</v>
      </c>
    </row>
    <row r="14" spans="1:8">
      <c r="A14" s="1">
        <v>23</v>
      </c>
      <c r="B14" s="1" t="s">
        <v>10</v>
      </c>
      <c r="C14" s="1">
        <v>34.4</v>
      </c>
      <c r="D14" s="1">
        <v>0</v>
      </c>
      <c r="E14" s="1" t="s">
        <v>11</v>
      </c>
      <c r="F14" s="1" t="s">
        <v>9</v>
      </c>
      <c r="G14" s="1">
        <v>1826.8430000000001</v>
      </c>
      <c r="H14" t="str">
        <f t="shared" si="0"/>
        <v>18-29</v>
      </c>
    </row>
    <row r="15" spans="1:8">
      <c r="A15" s="1">
        <v>56</v>
      </c>
      <c r="B15" s="1" t="s">
        <v>7</v>
      </c>
      <c r="C15" s="1">
        <v>39.82</v>
      </c>
      <c r="D15" s="1">
        <v>0</v>
      </c>
      <c r="E15" s="1" t="s">
        <v>11</v>
      </c>
      <c r="F15" s="1" t="s">
        <v>12</v>
      </c>
      <c r="G15" s="1">
        <v>11090.7178</v>
      </c>
      <c r="H15" t="str">
        <f t="shared" si="0"/>
        <v>50-59</v>
      </c>
    </row>
    <row r="16" spans="1:8">
      <c r="A16" s="1">
        <v>27</v>
      </c>
      <c r="B16" s="1" t="s">
        <v>10</v>
      </c>
      <c r="C16" s="1">
        <v>42.13</v>
      </c>
      <c r="D16" s="1">
        <v>0</v>
      </c>
      <c r="E16" s="1" t="s">
        <v>8</v>
      </c>
      <c r="F16" s="1" t="s">
        <v>12</v>
      </c>
      <c r="G16" s="1">
        <v>39611.757700000002</v>
      </c>
      <c r="H16" t="str">
        <f t="shared" si="0"/>
        <v>18-29</v>
      </c>
    </row>
    <row r="17" spans="1:8">
      <c r="A17" s="1">
        <v>19</v>
      </c>
      <c r="B17" s="1" t="s">
        <v>10</v>
      </c>
      <c r="C17" s="1">
        <v>24.6</v>
      </c>
      <c r="D17" s="1">
        <v>1</v>
      </c>
      <c r="E17" s="1" t="s">
        <v>11</v>
      </c>
      <c r="F17" s="1" t="s">
        <v>9</v>
      </c>
      <c r="G17" s="1">
        <v>1837.2370000000001</v>
      </c>
      <c r="H17" t="str">
        <f t="shared" si="0"/>
        <v>18-29</v>
      </c>
    </row>
    <row r="18" spans="1:8">
      <c r="A18" s="1">
        <v>52</v>
      </c>
      <c r="B18" s="1" t="s">
        <v>7</v>
      </c>
      <c r="C18" s="1">
        <v>30.78</v>
      </c>
      <c r="D18" s="1">
        <v>1</v>
      </c>
      <c r="E18" s="1" t="s">
        <v>11</v>
      </c>
      <c r="F18" s="1" t="s">
        <v>14</v>
      </c>
      <c r="G18" s="1">
        <v>10797.3362</v>
      </c>
      <c r="H18" t="str">
        <f t="shared" si="0"/>
        <v>50-59</v>
      </c>
    </row>
    <row r="19" spans="1:8">
      <c r="A19" s="1">
        <v>23</v>
      </c>
      <c r="B19" s="1" t="s">
        <v>10</v>
      </c>
      <c r="C19" s="1">
        <v>23.844999999999999</v>
      </c>
      <c r="D19" s="1">
        <v>0</v>
      </c>
      <c r="E19" s="1" t="s">
        <v>11</v>
      </c>
      <c r="F19" s="1" t="s">
        <v>14</v>
      </c>
      <c r="G19" s="1">
        <v>2395.17155</v>
      </c>
      <c r="H19" t="str">
        <f t="shared" si="0"/>
        <v>18-29</v>
      </c>
    </row>
    <row r="20" spans="1:8">
      <c r="A20" s="1">
        <v>56</v>
      </c>
      <c r="B20" s="1" t="s">
        <v>10</v>
      </c>
      <c r="C20" s="1">
        <v>40.299999999999997</v>
      </c>
      <c r="D20" s="1">
        <v>0</v>
      </c>
      <c r="E20" s="1" t="s">
        <v>11</v>
      </c>
      <c r="F20" s="1" t="s">
        <v>9</v>
      </c>
      <c r="G20" s="1">
        <v>10602.385</v>
      </c>
      <c r="H20" t="str">
        <f t="shared" si="0"/>
        <v>50-59</v>
      </c>
    </row>
    <row r="21" spans="1:8" ht="15.75" customHeight="1">
      <c r="A21" s="1">
        <v>30</v>
      </c>
      <c r="B21" s="1" t="s">
        <v>10</v>
      </c>
      <c r="C21" s="1">
        <v>35.299999999999997</v>
      </c>
      <c r="D21" s="1">
        <v>0</v>
      </c>
      <c r="E21" s="1" t="s">
        <v>8</v>
      </c>
      <c r="F21" s="1" t="s">
        <v>9</v>
      </c>
      <c r="G21" s="1">
        <v>36837.466999999997</v>
      </c>
      <c r="H21" t="str">
        <f t="shared" si="0"/>
        <v>30-39</v>
      </c>
    </row>
    <row r="22" spans="1:8" ht="15.75" customHeight="1">
      <c r="A22" s="1">
        <v>60</v>
      </c>
      <c r="B22" s="1" t="s">
        <v>7</v>
      </c>
      <c r="C22" s="1">
        <v>36.005000000000003</v>
      </c>
      <c r="D22" s="1">
        <v>0</v>
      </c>
      <c r="E22" s="1" t="s">
        <v>11</v>
      </c>
      <c r="F22" s="1" t="s">
        <v>14</v>
      </c>
      <c r="G22" s="1">
        <v>13228.846949999999</v>
      </c>
      <c r="H22" t="str">
        <f t="shared" si="0"/>
        <v>60+</v>
      </c>
    </row>
    <row r="23" spans="1:8" ht="15.75" customHeight="1">
      <c r="A23" s="1">
        <v>30</v>
      </c>
      <c r="B23" s="1" t="s">
        <v>7</v>
      </c>
      <c r="C23" s="1">
        <v>32.4</v>
      </c>
      <c r="D23" s="1">
        <v>1</v>
      </c>
      <c r="E23" s="1" t="s">
        <v>11</v>
      </c>
      <c r="F23" s="1" t="s">
        <v>9</v>
      </c>
      <c r="G23" s="1">
        <v>4149.7359999999999</v>
      </c>
      <c r="H23" t="str">
        <f t="shared" si="0"/>
        <v>30-39</v>
      </c>
    </row>
    <row r="24" spans="1:8" ht="15.75" customHeight="1">
      <c r="A24" s="1">
        <v>18</v>
      </c>
      <c r="B24" s="1" t="s">
        <v>10</v>
      </c>
      <c r="C24" s="1">
        <v>34.1</v>
      </c>
      <c r="D24" s="1">
        <v>0</v>
      </c>
      <c r="E24" s="1" t="s">
        <v>11</v>
      </c>
      <c r="F24" s="1" t="s">
        <v>12</v>
      </c>
      <c r="G24" s="1">
        <v>1137.011</v>
      </c>
      <c r="H24" t="str">
        <f t="shared" si="0"/>
        <v>18-29</v>
      </c>
    </row>
    <row r="25" spans="1:8" ht="15.75" customHeight="1">
      <c r="A25" s="1">
        <v>34</v>
      </c>
      <c r="B25" s="1" t="s">
        <v>7</v>
      </c>
      <c r="C25" s="1">
        <v>31.92</v>
      </c>
      <c r="D25" s="1">
        <v>1</v>
      </c>
      <c r="E25" s="1" t="s">
        <v>8</v>
      </c>
      <c r="F25" s="1" t="s">
        <v>14</v>
      </c>
      <c r="G25" s="1">
        <v>37701.876799999998</v>
      </c>
      <c r="H25" t="str">
        <f t="shared" si="0"/>
        <v>30-39</v>
      </c>
    </row>
    <row r="26" spans="1:8" ht="15.75" customHeight="1">
      <c r="A26" s="1">
        <v>37</v>
      </c>
      <c r="B26" s="1" t="s">
        <v>10</v>
      </c>
      <c r="C26" s="1">
        <v>28.024999999999999</v>
      </c>
      <c r="D26" s="1">
        <v>2</v>
      </c>
      <c r="E26" s="1" t="s">
        <v>11</v>
      </c>
      <c r="F26" s="1" t="s">
        <v>13</v>
      </c>
      <c r="G26" s="1">
        <v>6203.90175</v>
      </c>
      <c r="H26" t="str">
        <f t="shared" si="0"/>
        <v>30-39</v>
      </c>
    </row>
    <row r="27" spans="1:8" ht="15.75" customHeight="1">
      <c r="A27" s="1">
        <v>59</v>
      </c>
      <c r="B27" s="1" t="s">
        <v>7</v>
      </c>
      <c r="C27" s="1">
        <v>27.72</v>
      </c>
      <c r="D27" s="1">
        <v>3</v>
      </c>
      <c r="E27" s="1" t="s">
        <v>11</v>
      </c>
      <c r="F27" s="1" t="s">
        <v>12</v>
      </c>
      <c r="G27" s="1">
        <v>14001.1338</v>
      </c>
      <c r="H27" t="str">
        <f t="shared" si="0"/>
        <v>50-59</v>
      </c>
    </row>
    <row r="28" spans="1:8" ht="15.75" customHeight="1">
      <c r="A28" s="1">
        <v>63</v>
      </c>
      <c r="B28" s="1" t="s">
        <v>7</v>
      </c>
      <c r="C28" s="1">
        <v>23.085000000000001</v>
      </c>
      <c r="D28" s="1">
        <v>0</v>
      </c>
      <c r="E28" s="1" t="s">
        <v>11</v>
      </c>
      <c r="F28" s="1" t="s">
        <v>14</v>
      </c>
      <c r="G28" s="1">
        <v>14451.835150000001</v>
      </c>
      <c r="H28" t="str">
        <f t="shared" si="0"/>
        <v>60+</v>
      </c>
    </row>
    <row r="29" spans="1:8" ht="15.75" customHeight="1">
      <c r="A29" s="1">
        <v>55</v>
      </c>
      <c r="B29" s="1" t="s">
        <v>7</v>
      </c>
      <c r="C29" s="1">
        <v>32.774999999999999</v>
      </c>
      <c r="D29" s="1">
        <v>2</v>
      </c>
      <c r="E29" s="1" t="s">
        <v>11</v>
      </c>
      <c r="F29" s="1" t="s">
        <v>13</v>
      </c>
      <c r="G29" s="1">
        <v>12268.632250000001</v>
      </c>
      <c r="H29" t="str">
        <f t="shared" si="0"/>
        <v>50-59</v>
      </c>
    </row>
    <row r="30" spans="1:8" ht="15.75" customHeight="1">
      <c r="A30" s="1">
        <v>23</v>
      </c>
      <c r="B30" s="1" t="s">
        <v>10</v>
      </c>
      <c r="C30" s="1">
        <v>17.385000000000002</v>
      </c>
      <c r="D30" s="1">
        <v>1</v>
      </c>
      <c r="E30" s="1" t="s">
        <v>11</v>
      </c>
      <c r="F30" s="1" t="s">
        <v>13</v>
      </c>
      <c r="G30" s="1">
        <v>2775.1921499999999</v>
      </c>
      <c r="H30" t="str">
        <f t="shared" si="0"/>
        <v>18-29</v>
      </c>
    </row>
    <row r="31" spans="1:8" ht="15.75" customHeight="1">
      <c r="A31" s="1">
        <v>31</v>
      </c>
      <c r="B31" s="1" t="s">
        <v>10</v>
      </c>
      <c r="C31" s="1">
        <v>36.299999999999997</v>
      </c>
      <c r="D31" s="1">
        <v>2</v>
      </c>
      <c r="E31" s="1" t="s">
        <v>8</v>
      </c>
      <c r="F31" s="1" t="s">
        <v>9</v>
      </c>
      <c r="G31" s="1">
        <v>38711</v>
      </c>
      <c r="H31" t="str">
        <f t="shared" si="0"/>
        <v>30-39</v>
      </c>
    </row>
    <row r="32" spans="1:8" ht="15.75" customHeight="1">
      <c r="A32" s="1">
        <v>22</v>
      </c>
      <c r="B32" s="1" t="s">
        <v>10</v>
      </c>
      <c r="C32" s="1">
        <v>35.6</v>
      </c>
      <c r="D32" s="1">
        <v>0</v>
      </c>
      <c r="E32" s="1" t="s">
        <v>8</v>
      </c>
      <c r="F32" s="1" t="s">
        <v>9</v>
      </c>
      <c r="G32" s="1">
        <v>35585.576000000001</v>
      </c>
      <c r="H32" t="str">
        <f t="shared" si="0"/>
        <v>18-29</v>
      </c>
    </row>
    <row r="33" spans="1:8" ht="15.75" customHeight="1">
      <c r="A33" s="1">
        <v>18</v>
      </c>
      <c r="B33" s="1" t="s">
        <v>7</v>
      </c>
      <c r="C33" s="1">
        <v>26.315000000000001</v>
      </c>
      <c r="D33" s="1">
        <v>0</v>
      </c>
      <c r="E33" s="1" t="s">
        <v>11</v>
      </c>
      <c r="F33" s="1" t="s">
        <v>14</v>
      </c>
      <c r="G33" s="1">
        <v>2198.1898500000002</v>
      </c>
      <c r="H33" t="str">
        <f t="shared" si="0"/>
        <v>18-29</v>
      </c>
    </row>
    <row r="34" spans="1:8" ht="15.75" customHeight="1">
      <c r="A34" s="1">
        <v>19</v>
      </c>
      <c r="B34" s="1" t="s">
        <v>7</v>
      </c>
      <c r="C34" s="1">
        <v>28.6</v>
      </c>
      <c r="D34" s="1">
        <v>5</v>
      </c>
      <c r="E34" s="1" t="s">
        <v>11</v>
      </c>
      <c r="F34" s="1" t="s">
        <v>9</v>
      </c>
      <c r="G34" s="1">
        <v>4687.7969999999996</v>
      </c>
      <c r="H34" t="str">
        <f t="shared" si="0"/>
        <v>18-29</v>
      </c>
    </row>
    <row r="35" spans="1:8" ht="15.75" customHeight="1">
      <c r="A35" s="1">
        <v>63</v>
      </c>
      <c r="B35" s="1" t="s">
        <v>10</v>
      </c>
      <c r="C35" s="1">
        <v>28.31</v>
      </c>
      <c r="D35" s="1">
        <v>0</v>
      </c>
      <c r="E35" s="1" t="s">
        <v>11</v>
      </c>
      <c r="F35" s="1" t="s">
        <v>13</v>
      </c>
      <c r="G35" s="1">
        <v>13770.097900000001</v>
      </c>
      <c r="H35" t="str">
        <f t="shared" si="0"/>
        <v>60+</v>
      </c>
    </row>
    <row r="36" spans="1:8" ht="15.75" customHeight="1">
      <c r="A36" s="1">
        <v>28</v>
      </c>
      <c r="B36" s="1" t="s">
        <v>10</v>
      </c>
      <c r="C36" s="1">
        <v>36.4</v>
      </c>
      <c r="D36" s="1">
        <v>1</v>
      </c>
      <c r="E36" s="1" t="s">
        <v>8</v>
      </c>
      <c r="F36" s="1" t="s">
        <v>9</v>
      </c>
      <c r="G36" s="1">
        <v>51194.559139999998</v>
      </c>
      <c r="H36" t="str">
        <f t="shared" si="0"/>
        <v>18-29</v>
      </c>
    </row>
    <row r="37" spans="1:8" ht="15.75" customHeight="1">
      <c r="A37" s="1">
        <v>19</v>
      </c>
      <c r="B37" s="1" t="s">
        <v>10</v>
      </c>
      <c r="C37" s="1">
        <v>20.425000000000001</v>
      </c>
      <c r="D37" s="1">
        <v>0</v>
      </c>
      <c r="E37" s="1" t="s">
        <v>11</v>
      </c>
      <c r="F37" s="1" t="s">
        <v>13</v>
      </c>
      <c r="G37" s="1">
        <v>1625.4337499999999</v>
      </c>
      <c r="H37" t="str">
        <f t="shared" si="0"/>
        <v>18-29</v>
      </c>
    </row>
    <row r="38" spans="1:8" ht="15.75" customHeight="1">
      <c r="A38" s="1">
        <v>62</v>
      </c>
      <c r="B38" s="1" t="s">
        <v>7</v>
      </c>
      <c r="C38" s="1">
        <v>32.965000000000003</v>
      </c>
      <c r="D38" s="1">
        <v>3</v>
      </c>
      <c r="E38" s="1" t="s">
        <v>11</v>
      </c>
      <c r="F38" s="1" t="s">
        <v>13</v>
      </c>
      <c r="G38" s="1">
        <v>15612.19335</v>
      </c>
      <c r="H38" t="str">
        <f t="shared" si="0"/>
        <v>60+</v>
      </c>
    </row>
    <row r="39" spans="1:8" ht="15.75" customHeight="1">
      <c r="A39" s="1">
        <v>26</v>
      </c>
      <c r="B39" s="1" t="s">
        <v>10</v>
      </c>
      <c r="C39" s="1">
        <v>20.8</v>
      </c>
      <c r="D39" s="1">
        <v>0</v>
      </c>
      <c r="E39" s="1" t="s">
        <v>11</v>
      </c>
      <c r="F39" s="1" t="s">
        <v>9</v>
      </c>
      <c r="G39" s="1">
        <v>2302.3000000000002</v>
      </c>
      <c r="H39" t="str">
        <f t="shared" si="0"/>
        <v>18-29</v>
      </c>
    </row>
    <row r="40" spans="1:8" ht="15.75" customHeight="1">
      <c r="A40" s="1">
        <v>35</v>
      </c>
      <c r="B40" s="1" t="s">
        <v>10</v>
      </c>
      <c r="C40" s="1">
        <v>36.67</v>
      </c>
      <c r="D40" s="1">
        <v>1</v>
      </c>
      <c r="E40" s="1" t="s">
        <v>8</v>
      </c>
      <c r="F40" s="1" t="s">
        <v>14</v>
      </c>
      <c r="G40" s="1">
        <v>39774.276299999998</v>
      </c>
      <c r="H40" t="str">
        <f t="shared" si="0"/>
        <v>30-39</v>
      </c>
    </row>
    <row r="41" spans="1:8" ht="15.75" customHeight="1">
      <c r="A41" s="1">
        <v>60</v>
      </c>
      <c r="B41" s="1" t="s">
        <v>10</v>
      </c>
      <c r="C41" s="1">
        <v>39.9</v>
      </c>
      <c r="D41" s="1">
        <v>0</v>
      </c>
      <c r="E41" s="1" t="s">
        <v>8</v>
      </c>
      <c r="F41" s="1" t="s">
        <v>9</v>
      </c>
      <c r="G41" s="1">
        <v>48173.360999999997</v>
      </c>
      <c r="H41" t="str">
        <f t="shared" si="0"/>
        <v>60+</v>
      </c>
    </row>
    <row r="42" spans="1:8" ht="15.75" customHeight="1">
      <c r="A42" s="1">
        <v>24</v>
      </c>
      <c r="B42" s="1" t="s">
        <v>7</v>
      </c>
      <c r="C42" s="1">
        <v>26.6</v>
      </c>
      <c r="D42" s="1">
        <v>0</v>
      </c>
      <c r="E42" s="1" t="s">
        <v>11</v>
      </c>
      <c r="F42" s="1" t="s">
        <v>14</v>
      </c>
      <c r="G42" s="1">
        <v>3046.0619999999999</v>
      </c>
      <c r="H42" t="str">
        <f t="shared" si="0"/>
        <v>18-29</v>
      </c>
    </row>
    <row r="43" spans="1:8" ht="15.75" customHeight="1">
      <c r="A43" s="1">
        <v>31</v>
      </c>
      <c r="B43" s="1" t="s">
        <v>7</v>
      </c>
      <c r="C43" s="1">
        <v>36.630000000000003</v>
      </c>
      <c r="D43" s="1">
        <v>2</v>
      </c>
      <c r="E43" s="1" t="s">
        <v>11</v>
      </c>
      <c r="F43" s="1" t="s">
        <v>12</v>
      </c>
      <c r="G43" s="1">
        <v>4949.7587000000003</v>
      </c>
      <c r="H43" t="str">
        <f t="shared" si="0"/>
        <v>30-39</v>
      </c>
    </row>
    <row r="44" spans="1:8" ht="15.75" customHeight="1">
      <c r="A44" s="1">
        <v>41</v>
      </c>
      <c r="B44" s="1" t="s">
        <v>10</v>
      </c>
      <c r="C44" s="1">
        <v>21.78</v>
      </c>
      <c r="D44" s="1">
        <v>1</v>
      </c>
      <c r="E44" s="1" t="s">
        <v>11</v>
      </c>
      <c r="F44" s="1" t="s">
        <v>12</v>
      </c>
      <c r="G44" s="1">
        <v>6272.4772000000003</v>
      </c>
      <c r="H44" t="str">
        <f t="shared" si="0"/>
        <v>40-49</v>
      </c>
    </row>
    <row r="45" spans="1:8" ht="15.75" customHeight="1">
      <c r="A45" s="1">
        <v>37</v>
      </c>
      <c r="B45" s="1" t="s">
        <v>7</v>
      </c>
      <c r="C45" s="1">
        <v>30.8</v>
      </c>
      <c r="D45" s="1">
        <v>2</v>
      </c>
      <c r="E45" s="1" t="s">
        <v>11</v>
      </c>
      <c r="F45" s="1" t="s">
        <v>12</v>
      </c>
      <c r="G45" s="1">
        <v>6313.759</v>
      </c>
      <c r="H45" t="str">
        <f t="shared" si="0"/>
        <v>30-39</v>
      </c>
    </row>
    <row r="46" spans="1:8" ht="15.75" customHeight="1">
      <c r="A46" s="1">
        <v>38</v>
      </c>
      <c r="B46" s="1" t="s">
        <v>10</v>
      </c>
      <c r="C46" s="1">
        <v>37.049999999999997</v>
      </c>
      <c r="D46" s="1">
        <v>1</v>
      </c>
      <c r="E46" s="1" t="s">
        <v>11</v>
      </c>
      <c r="F46" s="1" t="s">
        <v>14</v>
      </c>
      <c r="G46" s="1">
        <v>6079.6715000000004</v>
      </c>
      <c r="H46" t="str">
        <f t="shared" si="0"/>
        <v>30-39</v>
      </c>
    </row>
    <row r="47" spans="1:8" ht="15.75" customHeight="1">
      <c r="A47" s="1">
        <v>55</v>
      </c>
      <c r="B47" s="1" t="s">
        <v>10</v>
      </c>
      <c r="C47" s="1">
        <v>37.299999999999997</v>
      </c>
      <c r="D47" s="1">
        <v>0</v>
      </c>
      <c r="E47" s="1" t="s">
        <v>11</v>
      </c>
      <c r="F47" s="1" t="s">
        <v>9</v>
      </c>
      <c r="G47" s="1">
        <v>20630.283510000001</v>
      </c>
      <c r="H47" t="str">
        <f t="shared" si="0"/>
        <v>50-59</v>
      </c>
    </row>
    <row r="48" spans="1:8" ht="15.75" customHeight="1">
      <c r="A48" s="1">
        <v>18</v>
      </c>
      <c r="B48" s="1" t="s">
        <v>7</v>
      </c>
      <c r="C48" s="1">
        <v>38.664999999999999</v>
      </c>
      <c r="D48" s="1">
        <v>2</v>
      </c>
      <c r="E48" s="1" t="s">
        <v>11</v>
      </c>
      <c r="F48" s="1" t="s">
        <v>14</v>
      </c>
      <c r="G48" s="1">
        <v>3393.35635</v>
      </c>
      <c r="H48" t="str">
        <f t="shared" si="0"/>
        <v>18-29</v>
      </c>
    </row>
    <row r="49" spans="1:8" ht="15.75" customHeight="1">
      <c r="A49" s="1">
        <v>28</v>
      </c>
      <c r="B49" s="1" t="s">
        <v>7</v>
      </c>
      <c r="C49" s="1">
        <v>34.770000000000003</v>
      </c>
      <c r="D49" s="1">
        <v>0</v>
      </c>
      <c r="E49" s="1" t="s">
        <v>11</v>
      </c>
      <c r="F49" s="1" t="s">
        <v>13</v>
      </c>
      <c r="G49" s="1">
        <v>3556.9223000000002</v>
      </c>
      <c r="H49" t="str">
        <f t="shared" si="0"/>
        <v>18-29</v>
      </c>
    </row>
    <row r="50" spans="1:8" ht="15.75" customHeight="1">
      <c r="A50" s="1">
        <v>60</v>
      </c>
      <c r="B50" s="1" t="s">
        <v>7</v>
      </c>
      <c r="C50" s="1">
        <v>24.53</v>
      </c>
      <c r="D50" s="1">
        <v>0</v>
      </c>
      <c r="E50" s="1" t="s">
        <v>11</v>
      </c>
      <c r="F50" s="1" t="s">
        <v>12</v>
      </c>
      <c r="G50" s="1">
        <v>12629.896699999999</v>
      </c>
      <c r="H50" t="str">
        <f t="shared" si="0"/>
        <v>60+</v>
      </c>
    </row>
    <row r="51" spans="1:8" ht="15.75" customHeight="1">
      <c r="A51" s="1">
        <v>36</v>
      </c>
      <c r="B51" s="1" t="s">
        <v>10</v>
      </c>
      <c r="C51" s="1">
        <v>35.200000000000003</v>
      </c>
      <c r="D51" s="1">
        <v>1</v>
      </c>
      <c r="E51" s="1" t="s">
        <v>8</v>
      </c>
      <c r="F51" s="1" t="s">
        <v>12</v>
      </c>
      <c r="G51" s="1">
        <v>38709.175999999999</v>
      </c>
      <c r="H51" t="str">
        <f t="shared" si="0"/>
        <v>30-39</v>
      </c>
    </row>
    <row r="52" spans="1:8" ht="15.75" customHeight="1">
      <c r="A52" s="1">
        <v>18</v>
      </c>
      <c r="B52" s="1" t="s">
        <v>7</v>
      </c>
      <c r="C52" s="1">
        <v>35.625</v>
      </c>
      <c r="D52" s="1">
        <v>0</v>
      </c>
      <c r="E52" s="1" t="s">
        <v>11</v>
      </c>
      <c r="F52" s="1" t="s">
        <v>14</v>
      </c>
      <c r="G52" s="1">
        <v>2211.1307499999998</v>
      </c>
      <c r="H52" t="str">
        <f t="shared" si="0"/>
        <v>18-29</v>
      </c>
    </row>
    <row r="53" spans="1:8" ht="15.75" customHeight="1">
      <c r="A53" s="1">
        <v>21</v>
      </c>
      <c r="B53" s="1" t="s">
        <v>7</v>
      </c>
      <c r="C53" s="1">
        <v>33.630000000000003</v>
      </c>
      <c r="D53" s="1">
        <v>2</v>
      </c>
      <c r="E53" s="1" t="s">
        <v>11</v>
      </c>
      <c r="F53" s="1" t="s">
        <v>13</v>
      </c>
      <c r="G53" s="1">
        <v>3579.8287</v>
      </c>
      <c r="H53" t="str">
        <f t="shared" si="0"/>
        <v>18-29</v>
      </c>
    </row>
    <row r="54" spans="1:8" ht="15.75" customHeight="1">
      <c r="A54" s="1">
        <v>48</v>
      </c>
      <c r="B54" s="1" t="s">
        <v>10</v>
      </c>
      <c r="C54" s="1">
        <v>28</v>
      </c>
      <c r="D54" s="1">
        <v>1</v>
      </c>
      <c r="E54" s="1" t="s">
        <v>8</v>
      </c>
      <c r="F54" s="1" t="s">
        <v>9</v>
      </c>
      <c r="G54" s="1">
        <v>23568.272000000001</v>
      </c>
      <c r="H54" t="str">
        <f t="shared" si="0"/>
        <v>40-49</v>
      </c>
    </row>
    <row r="55" spans="1:8" ht="15.75" customHeight="1">
      <c r="A55" s="1">
        <v>36</v>
      </c>
      <c r="B55" s="1" t="s">
        <v>10</v>
      </c>
      <c r="C55" s="1">
        <v>34.43</v>
      </c>
      <c r="D55" s="1">
        <v>0</v>
      </c>
      <c r="E55" s="1" t="s">
        <v>8</v>
      </c>
      <c r="F55" s="1" t="s">
        <v>12</v>
      </c>
      <c r="G55" s="1">
        <v>37742.575700000001</v>
      </c>
      <c r="H55" t="str">
        <f t="shared" si="0"/>
        <v>30-39</v>
      </c>
    </row>
    <row r="56" spans="1:8" ht="15.75" customHeight="1">
      <c r="A56" s="1">
        <v>40</v>
      </c>
      <c r="B56" s="1" t="s">
        <v>7</v>
      </c>
      <c r="C56" s="1">
        <v>28.69</v>
      </c>
      <c r="D56" s="1">
        <v>3</v>
      </c>
      <c r="E56" s="1" t="s">
        <v>11</v>
      </c>
      <c r="F56" s="1" t="s">
        <v>13</v>
      </c>
      <c r="G56" s="1">
        <v>8059.6791000000003</v>
      </c>
      <c r="H56" t="str">
        <f t="shared" si="0"/>
        <v>40-49</v>
      </c>
    </row>
    <row r="57" spans="1:8" ht="15.75" customHeight="1">
      <c r="A57" s="1">
        <v>58</v>
      </c>
      <c r="B57" s="1" t="s">
        <v>10</v>
      </c>
      <c r="C57" s="1">
        <v>36.954999999999998</v>
      </c>
      <c r="D57" s="1">
        <v>2</v>
      </c>
      <c r="E57" s="1" t="s">
        <v>8</v>
      </c>
      <c r="F57" s="1" t="s">
        <v>13</v>
      </c>
      <c r="G57" s="1">
        <v>47496.494449999998</v>
      </c>
      <c r="H57" t="str">
        <f t="shared" si="0"/>
        <v>50-59</v>
      </c>
    </row>
    <row r="58" spans="1:8" ht="15.75" customHeight="1">
      <c r="A58" s="1">
        <v>58</v>
      </c>
      <c r="B58" s="1" t="s">
        <v>7</v>
      </c>
      <c r="C58" s="1">
        <v>31.824999999999999</v>
      </c>
      <c r="D58" s="1">
        <v>2</v>
      </c>
      <c r="E58" s="1" t="s">
        <v>11</v>
      </c>
      <c r="F58" s="1" t="s">
        <v>14</v>
      </c>
      <c r="G58" s="1">
        <v>13607.36875</v>
      </c>
      <c r="H58" t="str">
        <f t="shared" si="0"/>
        <v>50-59</v>
      </c>
    </row>
    <row r="59" spans="1:8" ht="15.75" customHeight="1">
      <c r="A59" s="1">
        <v>18</v>
      </c>
      <c r="B59" s="1" t="s">
        <v>10</v>
      </c>
      <c r="C59" s="1">
        <v>31.68</v>
      </c>
      <c r="D59" s="1">
        <v>2</v>
      </c>
      <c r="E59" s="1" t="s">
        <v>8</v>
      </c>
      <c r="F59" s="1" t="s">
        <v>12</v>
      </c>
      <c r="G59" s="1">
        <v>34303.167200000004</v>
      </c>
      <c r="H59" t="str">
        <f t="shared" si="0"/>
        <v>18-29</v>
      </c>
    </row>
    <row r="60" spans="1:8" ht="15.75" customHeight="1">
      <c r="A60" s="1">
        <v>53</v>
      </c>
      <c r="B60" s="1" t="s">
        <v>7</v>
      </c>
      <c r="C60" s="1">
        <v>22.88</v>
      </c>
      <c r="D60" s="1">
        <v>1</v>
      </c>
      <c r="E60" s="1" t="s">
        <v>8</v>
      </c>
      <c r="F60" s="1" t="s">
        <v>12</v>
      </c>
      <c r="G60" s="1">
        <v>23244.790199999999</v>
      </c>
      <c r="H60" t="str">
        <f t="shared" si="0"/>
        <v>50-59</v>
      </c>
    </row>
    <row r="61" spans="1:8" ht="15.75" customHeight="1">
      <c r="A61" s="1">
        <v>34</v>
      </c>
      <c r="B61" s="1" t="s">
        <v>7</v>
      </c>
      <c r="C61" s="1">
        <v>37.335000000000001</v>
      </c>
      <c r="D61" s="1">
        <v>2</v>
      </c>
      <c r="E61" s="1" t="s">
        <v>11</v>
      </c>
      <c r="F61" s="1" t="s">
        <v>13</v>
      </c>
      <c r="G61" s="1">
        <v>5989.5236500000001</v>
      </c>
      <c r="H61" t="str">
        <f t="shared" si="0"/>
        <v>30-39</v>
      </c>
    </row>
    <row r="62" spans="1:8" ht="15.75" customHeight="1">
      <c r="A62" s="1">
        <v>43</v>
      </c>
      <c r="B62" s="1" t="s">
        <v>10</v>
      </c>
      <c r="C62" s="1">
        <v>27.36</v>
      </c>
      <c r="D62" s="1">
        <v>3</v>
      </c>
      <c r="E62" s="1" t="s">
        <v>11</v>
      </c>
      <c r="F62" s="1" t="s">
        <v>14</v>
      </c>
      <c r="G62" s="1">
        <v>8606.2173999999995</v>
      </c>
      <c r="H62" t="str">
        <f t="shared" si="0"/>
        <v>40-49</v>
      </c>
    </row>
    <row r="63" spans="1:8" ht="15.75" customHeight="1">
      <c r="A63" s="1">
        <v>25</v>
      </c>
      <c r="B63" s="1" t="s">
        <v>10</v>
      </c>
      <c r="C63" s="1">
        <v>33.659999999999997</v>
      </c>
      <c r="D63" s="1">
        <v>4</v>
      </c>
      <c r="E63" s="1" t="s">
        <v>11</v>
      </c>
      <c r="F63" s="1" t="s">
        <v>12</v>
      </c>
      <c r="G63" s="1">
        <v>4504.6624000000002</v>
      </c>
      <c r="H63" t="str">
        <f t="shared" si="0"/>
        <v>18-29</v>
      </c>
    </row>
    <row r="64" spans="1:8" ht="15.75" customHeight="1">
      <c r="A64" s="1">
        <v>64</v>
      </c>
      <c r="B64" s="1" t="s">
        <v>10</v>
      </c>
      <c r="C64" s="1">
        <v>24.7</v>
      </c>
      <c r="D64" s="1">
        <v>1</v>
      </c>
      <c r="E64" s="1" t="s">
        <v>11</v>
      </c>
      <c r="F64" s="1" t="s">
        <v>13</v>
      </c>
      <c r="G64" s="1">
        <v>30166.618170000002</v>
      </c>
      <c r="H64" t="str">
        <f t="shared" si="0"/>
        <v>60+</v>
      </c>
    </row>
    <row r="65" spans="1:8" ht="15.75" customHeight="1">
      <c r="A65" s="1">
        <v>28</v>
      </c>
      <c r="B65" s="1" t="s">
        <v>7</v>
      </c>
      <c r="C65" s="1">
        <v>25.934999999999999</v>
      </c>
      <c r="D65" s="1">
        <v>1</v>
      </c>
      <c r="E65" s="1" t="s">
        <v>11</v>
      </c>
      <c r="F65" s="1" t="s">
        <v>13</v>
      </c>
      <c r="G65" s="1">
        <v>4133.6416499999996</v>
      </c>
      <c r="H65" t="str">
        <f t="shared" si="0"/>
        <v>18-29</v>
      </c>
    </row>
    <row r="66" spans="1:8" ht="15.75" customHeight="1">
      <c r="A66" s="1">
        <v>20</v>
      </c>
      <c r="B66" s="1" t="s">
        <v>7</v>
      </c>
      <c r="C66" s="1">
        <v>22.42</v>
      </c>
      <c r="D66" s="1">
        <v>0</v>
      </c>
      <c r="E66" s="1" t="s">
        <v>8</v>
      </c>
      <c r="F66" s="1" t="s">
        <v>13</v>
      </c>
      <c r="G66" s="1">
        <v>14711.7438</v>
      </c>
      <c r="H66" t="str">
        <f t="shared" si="0"/>
        <v>18-29</v>
      </c>
    </row>
    <row r="67" spans="1:8" ht="15.75" customHeight="1">
      <c r="A67" s="1">
        <v>19</v>
      </c>
      <c r="B67" s="1" t="s">
        <v>7</v>
      </c>
      <c r="C67" s="1">
        <v>28.9</v>
      </c>
      <c r="D67" s="1">
        <v>0</v>
      </c>
      <c r="E67" s="1" t="s">
        <v>11</v>
      </c>
      <c r="F67" s="1" t="s">
        <v>9</v>
      </c>
      <c r="G67" s="1">
        <v>1743.2139999999999</v>
      </c>
      <c r="H67" t="str">
        <f t="shared" ref="H67:H130" si="1">IF(A67&lt;30,"18-29",IF(A67&lt;40,"30-39",IF(A67&lt;50,"40-49",IF(A67&lt;60,"50-59","60+"))))</f>
        <v>18-29</v>
      </c>
    </row>
    <row r="68" spans="1:8" ht="15.75" customHeight="1">
      <c r="A68" s="1">
        <v>61</v>
      </c>
      <c r="B68" s="1" t="s">
        <v>7</v>
      </c>
      <c r="C68" s="1">
        <v>39.1</v>
      </c>
      <c r="D68" s="1">
        <v>2</v>
      </c>
      <c r="E68" s="1" t="s">
        <v>11</v>
      </c>
      <c r="F68" s="1" t="s">
        <v>9</v>
      </c>
      <c r="G68" s="1">
        <v>14235.072</v>
      </c>
      <c r="H68" t="str">
        <f t="shared" si="1"/>
        <v>60+</v>
      </c>
    </row>
    <row r="69" spans="1:8" ht="15.75" customHeight="1">
      <c r="A69" s="1">
        <v>40</v>
      </c>
      <c r="B69" s="1" t="s">
        <v>10</v>
      </c>
      <c r="C69" s="1">
        <v>26.315000000000001</v>
      </c>
      <c r="D69" s="1">
        <v>1</v>
      </c>
      <c r="E69" s="1" t="s">
        <v>11</v>
      </c>
      <c r="F69" s="1" t="s">
        <v>13</v>
      </c>
      <c r="G69" s="1">
        <v>6389.3778499999999</v>
      </c>
      <c r="H69" t="str">
        <f t="shared" si="1"/>
        <v>40-49</v>
      </c>
    </row>
    <row r="70" spans="1:8" ht="15.75" customHeight="1">
      <c r="A70" s="1">
        <v>40</v>
      </c>
      <c r="B70" s="1" t="s">
        <v>7</v>
      </c>
      <c r="C70" s="1">
        <v>36.19</v>
      </c>
      <c r="D70" s="1">
        <v>0</v>
      </c>
      <c r="E70" s="1" t="s">
        <v>11</v>
      </c>
      <c r="F70" s="1" t="s">
        <v>12</v>
      </c>
      <c r="G70" s="1">
        <v>5920.1040999999996</v>
      </c>
      <c r="H70" t="str">
        <f t="shared" si="1"/>
        <v>40-49</v>
      </c>
    </row>
    <row r="71" spans="1:8" ht="15.75" customHeight="1">
      <c r="A71" s="1">
        <v>28</v>
      </c>
      <c r="B71" s="1" t="s">
        <v>10</v>
      </c>
      <c r="C71" s="1">
        <v>23.98</v>
      </c>
      <c r="D71" s="1">
        <v>3</v>
      </c>
      <c r="E71" s="1" t="s">
        <v>8</v>
      </c>
      <c r="F71" s="1" t="s">
        <v>12</v>
      </c>
      <c r="G71" s="1">
        <v>17663.144199999999</v>
      </c>
      <c r="H71" t="str">
        <f t="shared" si="1"/>
        <v>18-29</v>
      </c>
    </row>
    <row r="72" spans="1:8" ht="15.75" customHeight="1">
      <c r="A72" s="1">
        <v>27</v>
      </c>
      <c r="B72" s="1" t="s">
        <v>7</v>
      </c>
      <c r="C72" s="1">
        <v>24.75</v>
      </c>
      <c r="D72" s="1">
        <v>0</v>
      </c>
      <c r="E72" s="1" t="s">
        <v>8</v>
      </c>
      <c r="F72" s="1" t="s">
        <v>12</v>
      </c>
      <c r="G72" s="1">
        <v>16577.779500000001</v>
      </c>
      <c r="H72" t="str">
        <f t="shared" si="1"/>
        <v>18-29</v>
      </c>
    </row>
    <row r="73" spans="1:8" ht="15.75" customHeight="1">
      <c r="A73" s="1">
        <v>31</v>
      </c>
      <c r="B73" s="1" t="s">
        <v>10</v>
      </c>
      <c r="C73" s="1">
        <v>28.5</v>
      </c>
      <c r="D73" s="1">
        <v>5</v>
      </c>
      <c r="E73" s="1" t="s">
        <v>11</v>
      </c>
      <c r="F73" s="1" t="s">
        <v>14</v>
      </c>
      <c r="G73" s="1">
        <v>6799.4579999999996</v>
      </c>
      <c r="H73" t="str">
        <f t="shared" si="1"/>
        <v>30-39</v>
      </c>
    </row>
    <row r="74" spans="1:8" ht="15.75" customHeight="1">
      <c r="A74" s="1">
        <v>53</v>
      </c>
      <c r="B74" s="1" t="s">
        <v>7</v>
      </c>
      <c r="C74" s="1">
        <v>28.1</v>
      </c>
      <c r="D74" s="1">
        <v>3</v>
      </c>
      <c r="E74" s="1" t="s">
        <v>11</v>
      </c>
      <c r="F74" s="1" t="s">
        <v>9</v>
      </c>
      <c r="G74" s="1">
        <v>11741.726000000001</v>
      </c>
      <c r="H74" t="str">
        <f t="shared" si="1"/>
        <v>50-59</v>
      </c>
    </row>
    <row r="75" spans="1:8" ht="15.75" customHeight="1">
      <c r="A75" s="1">
        <v>58</v>
      </c>
      <c r="B75" s="1" t="s">
        <v>10</v>
      </c>
      <c r="C75" s="1">
        <v>32.01</v>
      </c>
      <c r="D75" s="1">
        <v>1</v>
      </c>
      <c r="E75" s="1" t="s">
        <v>11</v>
      </c>
      <c r="F75" s="1" t="s">
        <v>12</v>
      </c>
      <c r="G75" s="1">
        <v>11946.625899999999</v>
      </c>
      <c r="H75" t="str">
        <f t="shared" si="1"/>
        <v>50-59</v>
      </c>
    </row>
    <row r="76" spans="1:8" ht="15.75" customHeight="1">
      <c r="A76" s="1">
        <v>44</v>
      </c>
      <c r="B76" s="1" t="s">
        <v>10</v>
      </c>
      <c r="C76" s="1">
        <v>27.4</v>
      </c>
      <c r="D76" s="1">
        <v>2</v>
      </c>
      <c r="E76" s="1" t="s">
        <v>11</v>
      </c>
      <c r="F76" s="1" t="s">
        <v>9</v>
      </c>
      <c r="G76" s="1">
        <v>7726.8540000000003</v>
      </c>
      <c r="H76" t="str">
        <f t="shared" si="1"/>
        <v>40-49</v>
      </c>
    </row>
    <row r="77" spans="1:8" ht="15.75" customHeight="1">
      <c r="A77" s="1">
        <v>57</v>
      </c>
      <c r="B77" s="1" t="s">
        <v>10</v>
      </c>
      <c r="C77" s="1">
        <v>34.01</v>
      </c>
      <c r="D77" s="1">
        <v>0</v>
      </c>
      <c r="E77" s="1" t="s">
        <v>11</v>
      </c>
      <c r="F77" s="1" t="s">
        <v>13</v>
      </c>
      <c r="G77" s="1">
        <v>11356.660900000001</v>
      </c>
      <c r="H77" t="str">
        <f t="shared" si="1"/>
        <v>50-59</v>
      </c>
    </row>
    <row r="78" spans="1:8" ht="15.75" customHeight="1">
      <c r="A78" s="1">
        <v>29</v>
      </c>
      <c r="B78" s="1" t="s">
        <v>7</v>
      </c>
      <c r="C78" s="1">
        <v>29.59</v>
      </c>
      <c r="D78" s="1">
        <v>1</v>
      </c>
      <c r="E78" s="1" t="s">
        <v>11</v>
      </c>
      <c r="F78" s="1" t="s">
        <v>12</v>
      </c>
      <c r="G78" s="1">
        <v>3947.4131000000002</v>
      </c>
      <c r="H78" t="str">
        <f t="shared" si="1"/>
        <v>18-29</v>
      </c>
    </row>
    <row r="79" spans="1:8" ht="15.75" customHeight="1">
      <c r="A79" s="1">
        <v>21</v>
      </c>
      <c r="B79" s="1" t="s">
        <v>10</v>
      </c>
      <c r="C79" s="1">
        <v>35.53</v>
      </c>
      <c r="D79" s="1">
        <v>0</v>
      </c>
      <c r="E79" s="1" t="s">
        <v>11</v>
      </c>
      <c r="F79" s="1" t="s">
        <v>12</v>
      </c>
      <c r="G79" s="1">
        <v>1532.4697000000001</v>
      </c>
      <c r="H79" t="str">
        <f t="shared" si="1"/>
        <v>18-29</v>
      </c>
    </row>
    <row r="80" spans="1:8" ht="15.75" customHeight="1">
      <c r="A80" s="1">
        <v>22</v>
      </c>
      <c r="B80" s="1" t="s">
        <v>7</v>
      </c>
      <c r="C80" s="1">
        <v>39.805</v>
      </c>
      <c r="D80" s="1">
        <v>0</v>
      </c>
      <c r="E80" s="1" t="s">
        <v>11</v>
      </c>
      <c r="F80" s="1" t="s">
        <v>14</v>
      </c>
      <c r="G80" s="1">
        <v>2755.0209500000001</v>
      </c>
      <c r="H80" t="str">
        <f t="shared" si="1"/>
        <v>18-29</v>
      </c>
    </row>
    <row r="81" spans="1:8" ht="15.75" customHeight="1">
      <c r="A81" s="1">
        <v>41</v>
      </c>
      <c r="B81" s="1" t="s">
        <v>7</v>
      </c>
      <c r="C81" s="1">
        <v>32.965000000000003</v>
      </c>
      <c r="D81" s="1">
        <v>0</v>
      </c>
      <c r="E81" s="1" t="s">
        <v>11</v>
      </c>
      <c r="F81" s="1" t="s">
        <v>13</v>
      </c>
      <c r="G81" s="1">
        <v>6571.0243499999997</v>
      </c>
      <c r="H81" t="str">
        <f t="shared" si="1"/>
        <v>40-49</v>
      </c>
    </row>
    <row r="82" spans="1:8" ht="15.75" customHeight="1">
      <c r="A82" s="1">
        <v>31</v>
      </c>
      <c r="B82" s="1" t="s">
        <v>10</v>
      </c>
      <c r="C82" s="1">
        <v>26.885000000000002</v>
      </c>
      <c r="D82" s="1">
        <v>1</v>
      </c>
      <c r="E82" s="1" t="s">
        <v>11</v>
      </c>
      <c r="F82" s="1" t="s">
        <v>14</v>
      </c>
      <c r="G82" s="1">
        <v>4441.2131499999996</v>
      </c>
      <c r="H82" t="str">
        <f t="shared" si="1"/>
        <v>30-39</v>
      </c>
    </row>
    <row r="83" spans="1:8" ht="15.75" customHeight="1">
      <c r="A83" s="1">
        <v>45</v>
      </c>
      <c r="B83" s="1" t="s">
        <v>7</v>
      </c>
      <c r="C83" s="1">
        <v>38.284999999999997</v>
      </c>
      <c r="D83" s="1">
        <v>0</v>
      </c>
      <c r="E83" s="1" t="s">
        <v>11</v>
      </c>
      <c r="F83" s="1" t="s">
        <v>14</v>
      </c>
      <c r="G83" s="1">
        <v>7935.29115</v>
      </c>
      <c r="H83" t="str">
        <f t="shared" si="1"/>
        <v>40-49</v>
      </c>
    </row>
    <row r="84" spans="1:8" ht="15.75" customHeight="1">
      <c r="A84" s="1">
        <v>22</v>
      </c>
      <c r="B84" s="1" t="s">
        <v>10</v>
      </c>
      <c r="C84" s="1">
        <v>37.619999999999997</v>
      </c>
      <c r="D84" s="1">
        <v>1</v>
      </c>
      <c r="E84" s="1" t="s">
        <v>8</v>
      </c>
      <c r="F84" s="1" t="s">
        <v>12</v>
      </c>
      <c r="G84" s="1">
        <v>37165.163800000002</v>
      </c>
      <c r="H84" t="str">
        <f t="shared" si="1"/>
        <v>18-29</v>
      </c>
    </row>
    <row r="85" spans="1:8" ht="15.75" customHeight="1">
      <c r="A85" s="1">
        <v>48</v>
      </c>
      <c r="B85" s="1" t="s">
        <v>7</v>
      </c>
      <c r="C85" s="1">
        <v>41.23</v>
      </c>
      <c r="D85" s="1">
        <v>4</v>
      </c>
      <c r="E85" s="1" t="s">
        <v>11</v>
      </c>
      <c r="F85" s="1" t="s">
        <v>13</v>
      </c>
      <c r="G85" s="1">
        <v>11033.661700000001</v>
      </c>
      <c r="H85" t="str">
        <f t="shared" si="1"/>
        <v>40-49</v>
      </c>
    </row>
    <row r="86" spans="1:8" ht="15.75" customHeight="1">
      <c r="A86" s="1">
        <v>37</v>
      </c>
      <c r="B86" s="1" t="s">
        <v>7</v>
      </c>
      <c r="C86" s="1">
        <v>34.799999999999997</v>
      </c>
      <c r="D86" s="1">
        <v>2</v>
      </c>
      <c r="E86" s="1" t="s">
        <v>8</v>
      </c>
      <c r="F86" s="1" t="s">
        <v>9</v>
      </c>
      <c r="G86" s="1">
        <v>39836.519</v>
      </c>
      <c r="H86" t="str">
        <f t="shared" si="1"/>
        <v>30-39</v>
      </c>
    </row>
    <row r="87" spans="1:8" ht="15.75" customHeight="1">
      <c r="A87" s="1">
        <v>45</v>
      </c>
      <c r="B87" s="1" t="s">
        <v>10</v>
      </c>
      <c r="C87" s="1">
        <v>22.895</v>
      </c>
      <c r="D87" s="1">
        <v>2</v>
      </c>
      <c r="E87" s="1" t="s">
        <v>8</v>
      </c>
      <c r="F87" s="1" t="s">
        <v>13</v>
      </c>
      <c r="G87" s="1">
        <v>21098.554049999999</v>
      </c>
      <c r="H87" t="str">
        <f t="shared" si="1"/>
        <v>40-49</v>
      </c>
    </row>
    <row r="88" spans="1:8" ht="15.75" customHeight="1">
      <c r="A88" s="1">
        <v>57</v>
      </c>
      <c r="B88" s="1" t="s">
        <v>7</v>
      </c>
      <c r="C88" s="1">
        <v>31.16</v>
      </c>
      <c r="D88" s="1">
        <v>0</v>
      </c>
      <c r="E88" s="1" t="s">
        <v>8</v>
      </c>
      <c r="F88" s="1" t="s">
        <v>13</v>
      </c>
      <c r="G88" s="1">
        <v>43578.939400000003</v>
      </c>
      <c r="H88" t="str">
        <f t="shared" si="1"/>
        <v>50-59</v>
      </c>
    </row>
    <row r="89" spans="1:8" ht="15.75" customHeight="1">
      <c r="A89" s="1">
        <v>56</v>
      </c>
      <c r="B89" s="1" t="s">
        <v>7</v>
      </c>
      <c r="C89" s="1">
        <v>27.2</v>
      </c>
      <c r="D89" s="1">
        <v>0</v>
      </c>
      <c r="E89" s="1" t="s">
        <v>11</v>
      </c>
      <c r="F89" s="1" t="s">
        <v>9</v>
      </c>
      <c r="G89" s="1">
        <v>11073.175999999999</v>
      </c>
      <c r="H89" t="str">
        <f t="shared" si="1"/>
        <v>50-59</v>
      </c>
    </row>
    <row r="90" spans="1:8" ht="15.75" customHeight="1">
      <c r="A90" s="1">
        <v>46</v>
      </c>
      <c r="B90" s="1" t="s">
        <v>7</v>
      </c>
      <c r="C90" s="1">
        <v>27.74</v>
      </c>
      <c r="D90" s="1">
        <v>0</v>
      </c>
      <c r="E90" s="1" t="s">
        <v>11</v>
      </c>
      <c r="F90" s="1" t="s">
        <v>13</v>
      </c>
      <c r="G90" s="1">
        <v>8026.6665999999996</v>
      </c>
      <c r="H90" t="str">
        <f t="shared" si="1"/>
        <v>40-49</v>
      </c>
    </row>
    <row r="91" spans="1:8" ht="15.75" customHeight="1">
      <c r="A91" s="1">
        <v>55</v>
      </c>
      <c r="B91" s="1" t="s">
        <v>7</v>
      </c>
      <c r="C91" s="1">
        <v>26.98</v>
      </c>
      <c r="D91" s="1">
        <v>0</v>
      </c>
      <c r="E91" s="1" t="s">
        <v>11</v>
      </c>
      <c r="F91" s="1" t="s">
        <v>13</v>
      </c>
      <c r="G91" s="1">
        <v>11082.5772</v>
      </c>
      <c r="H91" t="str">
        <f t="shared" si="1"/>
        <v>50-59</v>
      </c>
    </row>
    <row r="92" spans="1:8" ht="15.75" customHeight="1">
      <c r="A92" s="1">
        <v>21</v>
      </c>
      <c r="B92" s="1" t="s">
        <v>7</v>
      </c>
      <c r="C92" s="1">
        <v>39.49</v>
      </c>
      <c r="D92" s="1">
        <v>0</v>
      </c>
      <c r="E92" s="1" t="s">
        <v>11</v>
      </c>
      <c r="F92" s="1" t="s">
        <v>12</v>
      </c>
      <c r="G92" s="1">
        <v>2026.9740999999999</v>
      </c>
      <c r="H92" t="str">
        <f t="shared" si="1"/>
        <v>18-29</v>
      </c>
    </row>
    <row r="93" spans="1:8" ht="15.75" customHeight="1">
      <c r="A93" s="1">
        <v>53</v>
      </c>
      <c r="B93" s="1" t="s">
        <v>7</v>
      </c>
      <c r="C93" s="1">
        <v>24.795000000000002</v>
      </c>
      <c r="D93" s="1">
        <v>1</v>
      </c>
      <c r="E93" s="1" t="s">
        <v>11</v>
      </c>
      <c r="F93" s="1" t="s">
        <v>13</v>
      </c>
      <c r="G93" s="1">
        <v>10942.13205</v>
      </c>
      <c r="H93" t="str">
        <f t="shared" si="1"/>
        <v>50-59</v>
      </c>
    </row>
    <row r="94" spans="1:8" ht="15.75" customHeight="1">
      <c r="A94" s="1">
        <v>59</v>
      </c>
      <c r="B94" s="1" t="s">
        <v>10</v>
      </c>
      <c r="C94" s="1">
        <v>29.83</v>
      </c>
      <c r="D94" s="1">
        <v>3</v>
      </c>
      <c r="E94" s="1" t="s">
        <v>8</v>
      </c>
      <c r="F94" s="1" t="s">
        <v>14</v>
      </c>
      <c r="G94" s="1">
        <v>30184.936699999998</v>
      </c>
      <c r="H94" t="str">
        <f t="shared" si="1"/>
        <v>50-59</v>
      </c>
    </row>
    <row r="95" spans="1:8" ht="15.75" customHeight="1">
      <c r="A95" s="1">
        <v>35</v>
      </c>
      <c r="B95" s="1" t="s">
        <v>10</v>
      </c>
      <c r="C95" s="1">
        <v>34.770000000000003</v>
      </c>
      <c r="D95" s="1">
        <v>2</v>
      </c>
      <c r="E95" s="1" t="s">
        <v>11</v>
      </c>
      <c r="F95" s="1" t="s">
        <v>13</v>
      </c>
      <c r="G95" s="1">
        <v>5729.0052999999998</v>
      </c>
      <c r="H95" t="str">
        <f t="shared" si="1"/>
        <v>30-39</v>
      </c>
    </row>
    <row r="96" spans="1:8" ht="15.75" customHeight="1">
      <c r="A96" s="1">
        <v>64</v>
      </c>
      <c r="B96" s="1" t="s">
        <v>7</v>
      </c>
      <c r="C96" s="1">
        <v>31.3</v>
      </c>
      <c r="D96" s="1">
        <v>2</v>
      </c>
      <c r="E96" s="1" t="s">
        <v>8</v>
      </c>
      <c r="F96" s="1" t="s">
        <v>9</v>
      </c>
      <c r="G96" s="1">
        <v>47291.055</v>
      </c>
      <c r="H96" t="str">
        <f t="shared" si="1"/>
        <v>60+</v>
      </c>
    </row>
    <row r="97" spans="1:8" ht="15.75" customHeight="1">
      <c r="A97" s="1">
        <v>28</v>
      </c>
      <c r="B97" s="1" t="s">
        <v>7</v>
      </c>
      <c r="C97" s="1">
        <v>37.619999999999997</v>
      </c>
      <c r="D97" s="1">
        <v>1</v>
      </c>
      <c r="E97" s="1" t="s">
        <v>11</v>
      </c>
      <c r="F97" s="1" t="s">
        <v>12</v>
      </c>
      <c r="G97" s="1">
        <v>3766.8838000000001</v>
      </c>
      <c r="H97" t="str">
        <f t="shared" si="1"/>
        <v>18-29</v>
      </c>
    </row>
    <row r="98" spans="1:8" ht="15.75" customHeight="1">
      <c r="A98" s="1">
        <v>54</v>
      </c>
      <c r="B98" s="1" t="s">
        <v>7</v>
      </c>
      <c r="C98" s="1">
        <v>30.8</v>
      </c>
      <c r="D98" s="1">
        <v>3</v>
      </c>
      <c r="E98" s="1" t="s">
        <v>11</v>
      </c>
      <c r="F98" s="1" t="s">
        <v>9</v>
      </c>
      <c r="G98" s="1">
        <v>12105.32</v>
      </c>
      <c r="H98" t="str">
        <f t="shared" si="1"/>
        <v>50-59</v>
      </c>
    </row>
    <row r="99" spans="1:8" ht="15.75" customHeight="1">
      <c r="A99" s="1">
        <v>55</v>
      </c>
      <c r="B99" s="1" t="s">
        <v>10</v>
      </c>
      <c r="C99" s="1">
        <v>38.28</v>
      </c>
      <c r="D99" s="1">
        <v>0</v>
      </c>
      <c r="E99" s="1" t="s">
        <v>11</v>
      </c>
      <c r="F99" s="1" t="s">
        <v>12</v>
      </c>
      <c r="G99" s="1">
        <v>10226.2842</v>
      </c>
      <c r="H99" t="str">
        <f t="shared" si="1"/>
        <v>50-59</v>
      </c>
    </row>
    <row r="100" spans="1:8" ht="15.75" customHeight="1">
      <c r="A100" s="1">
        <v>56</v>
      </c>
      <c r="B100" s="1" t="s">
        <v>10</v>
      </c>
      <c r="C100" s="1">
        <v>19.95</v>
      </c>
      <c r="D100" s="1">
        <v>0</v>
      </c>
      <c r="E100" s="1" t="s">
        <v>8</v>
      </c>
      <c r="F100" s="1" t="s">
        <v>14</v>
      </c>
      <c r="G100" s="1">
        <v>22412.648499999999</v>
      </c>
      <c r="H100" t="str">
        <f t="shared" si="1"/>
        <v>50-59</v>
      </c>
    </row>
    <row r="101" spans="1:8" ht="15.75" customHeight="1">
      <c r="A101" s="1">
        <v>38</v>
      </c>
      <c r="B101" s="1" t="s">
        <v>10</v>
      </c>
      <c r="C101" s="1">
        <v>19.3</v>
      </c>
      <c r="D101" s="1">
        <v>0</v>
      </c>
      <c r="E101" s="1" t="s">
        <v>8</v>
      </c>
      <c r="F101" s="1" t="s">
        <v>9</v>
      </c>
      <c r="G101" s="1">
        <v>15820.699000000001</v>
      </c>
      <c r="H101" t="str">
        <f t="shared" si="1"/>
        <v>30-39</v>
      </c>
    </row>
    <row r="102" spans="1:8" ht="15.75" customHeight="1">
      <c r="A102" s="1">
        <v>41</v>
      </c>
      <c r="B102" s="1" t="s">
        <v>7</v>
      </c>
      <c r="C102" s="1">
        <v>31.6</v>
      </c>
      <c r="D102" s="1">
        <v>0</v>
      </c>
      <c r="E102" s="1" t="s">
        <v>11</v>
      </c>
      <c r="F102" s="1" t="s">
        <v>9</v>
      </c>
      <c r="G102" s="1">
        <v>6186.1270000000004</v>
      </c>
      <c r="H102" t="str">
        <f t="shared" si="1"/>
        <v>40-49</v>
      </c>
    </row>
    <row r="103" spans="1:8" ht="15.75" customHeight="1">
      <c r="A103" s="1">
        <v>30</v>
      </c>
      <c r="B103" s="1" t="s">
        <v>10</v>
      </c>
      <c r="C103" s="1">
        <v>25.46</v>
      </c>
      <c r="D103" s="1">
        <v>0</v>
      </c>
      <c r="E103" s="1" t="s">
        <v>11</v>
      </c>
      <c r="F103" s="1" t="s">
        <v>14</v>
      </c>
      <c r="G103" s="1">
        <v>3645.0893999999998</v>
      </c>
      <c r="H103" t="str">
        <f t="shared" si="1"/>
        <v>30-39</v>
      </c>
    </row>
    <row r="104" spans="1:8" ht="15.75" customHeight="1">
      <c r="A104" s="1">
        <v>18</v>
      </c>
      <c r="B104" s="1" t="s">
        <v>7</v>
      </c>
      <c r="C104" s="1">
        <v>30.114999999999998</v>
      </c>
      <c r="D104" s="1">
        <v>0</v>
      </c>
      <c r="E104" s="1" t="s">
        <v>11</v>
      </c>
      <c r="F104" s="1" t="s">
        <v>14</v>
      </c>
      <c r="G104" s="1">
        <v>21344.846699999998</v>
      </c>
      <c r="H104" t="str">
        <f t="shared" si="1"/>
        <v>18-29</v>
      </c>
    </row>
    <row r="105" spans="1:8" ht="15.75" customHeight="1">
      <c r="A105" s="1">
        <v>61</v>
      </c>
      <c r="B105" s="1" t="s">
        <v>7</v>
      </c>
      <c r="C105" s="1">
        <v>29.92</v>
      </c>
      <c r="D105" s="1">
        <v>3</v>
      </c>
      <c r="E105" s="1" t="s">
        <v>8</v>
      </c>
      <c r="F105" s="1" t="s">
        <v>12</v>
      </c>
      <c r="G105" s="1">
        <v>30942.191800000001</v>
      </c>
      <c r="H105" t="str">
        <f t="shared" si="1"/>
        <v>60+</v>
      </c>
    </row>
    <row r="106" spans="1:8" ht="15.75" customHeight="1">
      <c r="A106" s="1">
        <v>34</v>
      </c>
      <c r="B106" s="1" t="s">
        <v>7</v>
      </c>
      <c r="C106" s="1">
        <v>27.5</v>
      </c>
      <c r="D106" s="1">
        <v>1</v>
      </c>
      <c r="E106" s="1" t="s">
        <v>11</v>
      </c>
      <c r="F106" s="1" t="s">
        <v>9</v>
      </c>
      <c r="G106" s="1">
        <v>5003.8530000000001</v>
      </c>
      <c r="H106" t="str">
        <f t="shared" si="1"/>
        <v>30-39</v>
      </c>
    </row>
    <row r="107" spans="1:8" ht="15.75" customHeight="1">
      <c r="A107" s="1">
        <v>20</v>
      </c>
      <c r="B107" s="1" t="s">
        <v>10</v>
      </c>
      <c r="C107" s="1">
        <v>28.024999999999999</v>
      </c>
      <c r="D107" s="1">
        <v>1</v>
      </c>
      <c r="E107" s="1" t="s">
        <v>8</v>
      </c>
      <c r="F107" s="1" t="s">
        <v>13</v>
      </c>
      <c r="G107" s="1">
        <v>17560.37975</v>
      </c>
      <c r="H107" t="str">
        <f t="shared" si="1"/>
        <v>18-29</v>
      </c>
    </row>
    <row r="108" spans="1:8" ht="15.75" customHeight="1">
      <c r="A108" s="1">
        <v>19</v>
      </c>
      <c r="B108" s="1" t="s">
        <v>7</v>
      </c>
      <c r="C108" s="1">
        <v>28.4</v>
      </c>
      <c r="D108" s="1">
        <v>1</v>
      </c>
      <c r="E108" s="1" t="s">
        <v>11</v>
      </c>
      <c r="F108" s="1" t="s">
        <v>9</v>
      </c>
      <c r="G108" s="1">
        <v>2331.5189999999998</v>
      </c>
      <c r="H108" t="str">
        <f t="shared" si="1"/>
        <v>18-29</v>
      </c>
    </row>
    <row r="109" spans="1:8" ht="15.75" customHeight="1">
      <c r="A109" s="1">
        <v>26</v>
      </c>
      <c r="B109" s="1" t="s">
        <v>10</v>
      </c>
      <c r="C109" s="1">
        <v>30.875</v>
      </c>
      <c r="D109" s="1">
        <v>2</v>
      </c>
      <c r="E109" s="1" t="s">
        <v>11</v>
      </c>
      <c r="F109" s="1" t="s">
        <v>13</v>
      </c>
      <c r="G109" s="1">
        <v>3877.3042500000001</v>
      </c>
      <c r="H109" t="str">
        <f t="shared" si="1"/>
        <v>18-29</v>
      </c>
    </row>
    <row r="110" spans="1:8" ht="15.75" customHeight="1">
      <c r="A110" s="1">
        <v>29</v>
      </c>
      <c r="B110" s="1" t="s">
        <v>10</v>
      </c>
      <c r="C110" s="1">
        <v>27.94</v>
      </c>
      <c r="D110" s="1">
        <v>0</v>
      </c>
      <c r="E110" s="1" t="s">
        <v>11</v>
      </c>
      <c r="F110" s="1" t="s">
        <v>12</v>
      </c>
      <c r="G110" s="1">
        <v>2867.1196</v>
      </c>
      <c r="H110" t="str">
        <f t="shared" si="1"/>
        <v>18-29</v>
      </c>
    </row>
    <row r="111" spans="1:8" ht="15.75" customHeight="1">
      <c r="A111" s="1">
        <v>63</v>
      </c>
      <c r="B111" s="1" t="s">
        <v>10</v>
      </c>
      <c r="C111" s="1">
        <v>35.090000000000003</v>
      </c>
      <c r="D111" s="1">
        <v>0</v>
      </c>
      <c r="E111" s="1" t="s">
        <v>8</v>
      </c>
      <c r="F111" s="1" t="s">
        <v>12</v>
      </c>
      <c r="G111" s="1">
        <v>47055.532099999997</v>
      </c>
      <c r="H111" t="str">
        <f t="shared" si="1"/>
        <v>60+</v>
      </c>
    </row>
    <row r="112" spans="1:8" ht="15.75" customHeight="1">
      <c r="A112" s="1">
        <v>54</v>
      </c>
      <c r="B112" s="1" t="s">
        <v>10</v>
      </c>
      <c r="C112" s="1">
        <v>33.630000000000003</v>
      </c>
      <c r="D112" s="1">
        <v>1</v>
      </c>
      <c r="E112" s="1" t="s">
        <v>11</v>
      </c>
      <c r="F112" s="1" t="s">
        <v>13</v>
      </c>
      <c r="G112" s="1">
        <v>10825.253699999999</v>
      </c>
      <c r="H112" t="str">
        <f t="shared" si="1"/>
        <v>50-59</v>
      </c>
    </row>
    <row r="113" spans="1:8" ht="15.75" customHeight="1">
      <c r="A113" s="1">
        <v>55</v>
      </c>
      <c r="B113" s="1" t="s">
        <v>7</v>
      </c>
      <c r="C113" s="1">
        <v>29.7</v>
      </c>
      <c r="D113" s="1">
        <v>2</v>
      </c>
      <c r="E113" s="1" t="s">
        <v>11</v>
      </c>
      <c r="F113" s="1" t="s">
        <v>9</v>
      </c>
      <c r="G113" s="1">
        <v>11881.358</v>
      </c>
      <c r="H113" t="str">
        <f t="shared" si="1"/>
        <v>50-59</v>
      </c>
    </row>
    <row r="114" spans="1:8" ht="15.75" customHeight="1">
      <c r="A114" s="1">
        <v>37</v>
      </c>
      <c r="B114" s="1" t="s">
        <v>10</v>
      </c>
      <c r="C114" s="1">
        <v>30.8</v>
      </c>
      <c r="D114" s="1">
        <v>0</v>
      </c>
      <c r="E114" s="1" t="s">
        <v>11</v>
      </c>
      <c r="F114" s="1" t="s">
        <v>9</v>
      </c>
      <c r="G114" s="1">
        <v>4646.759</v>
      </c>
      <c r="H114" t="str">
        <f t="shared" si="1"/>
        <v>30-39</v>
      </c>
    </row>
    <row r="115" spans="1:8" ht="15.75" customHeight="1">
      <c r="A115" s="1">
        <v>21</v>
      </c>
      <c r="B115" s="1" t="s">
        <v>7</v>
      </c>
      <c r="C115" s="1">
        <v>35.72</v>
      </c>
      <c r="D115" s="1">
        <v>0</v>
      </c>
      <c r="E115" s="1" t="s">
        <v>11</v>
      </c>
      <c r="F115" s="1" t="s">
        <v>13</v>
      </c>
      <c r="G115" s="1">
        <v>2404.7338</v>
      </c>
      <c r="H115" t="str">
        <f t="shared" si="1"/>
        <v>18-29</v>
      </c>
    </row>
    <row r="116" spans="1:8" ht="15.75" customHeight="1">
      <c r="A116" s="1">
        <v>52</v>
      </c>
      <c r="B116" s="1" t="s">
        <v>10</v>
      </c>
      <c r="C116" s="1">
        <v>32.204999999999998</v>
      </c>
      <c r="D116" s="1">
        <v>3</v>
      </c>
      <c r="E116" s="1" t="s">
        <v>11</v>
      </c>
      <c r="F116" s="1" t="s">
        <v>14</v>
      </c>
      <c r="G116" s="1">
        <v>11488.31695</v>
      </c>
      <c r="H116" t="str">
        <f t="shared" si="1"/>
        <v>50-59</v>
      </c>
    </row>
    <row r="117" spans="1:8" ht="15.75" customHeight="1">
      <c r="A117" s="1">
        <v>60</v>
      </c>
      <c r="B117" s="1" t="s">
        <v>10</v>
      </c>
      <c r="C117" s="1">
        <v>28.594999999999999</v>
      </c>
      <c r="D117" s="1">
        <v>0</v>
      </c>
      <c r="E117" s="1" t="s">
        <v>11</v>
      </c>
      <c r="F117" s="1" t="s">
        <v>14</v>
      </c>
      <c r="G117" s="1">
        <v>30259.995559999999</v>
      </c>
      <c r="H117" t="str">
        <f t="shared" si="1"/>
        <v>60+</v>
      </c>
    </row>
    <row r="118" spans="1:8" ht="15.75" customHeight="1">
      <c r="A118" s="1">
        <v>58</v>
      </c>
      <c r="B118" s="1" t="s">
        <v>10</v>
      </c>
      <c r="C118" s="1">
        <v>49.06</v>
      </c>
      <c r="D118" s="1">
        <v>0</v>
      </c>
      <c r="E118" s="1" t="s">
        <v>11</v>
      </c>
      <c r="F118" s="1" t="s">
        <v>12</v>
      </c>
      <c r="G118" s="1">
        <v>11381.3254</v>
      </c>
      <c r="H118" t="str">
        <f t="shared" si="1"/>
        <v>50-59</v>
      </c>
    </row>
    <row r="119" spans="1:8" ht="15.75" customHeight="1">
      <c r="A119" s="1">
        <v>29</v>
      </c>
      <c r="B119" s="1" t="s">
        <v>7</v>
      </c>
      <c r="C119" s="1">
        <v>27.94</v>
      </c>
      <c r="D119" s="1">
        <v>1</v>
      </c>
      <c r="E119" s="1" t="s">
        <v>8</v>
      </c>
      <c r="F119" s="1" t="s">
        <v>12</v>
      </c>
      <c r="G119" s="1">
        <v>19107.779600000002</v>
      </c>
      <c r="H119" t="str">
        <f t="shared" si="1"/>
        <v>18-29</v>
      </c>
    </row>
    <row r="120" spans="1:8" ht="15.75" customHeight="1">
      <c r="A120" s="1">
        <v>49</v>
      </c>
      <c r="B120" s="1" t="s">
        <v>7</v>
      </c>
      <c r="C120" s="1">
        <v>27.17</v>
      </c>
      <c r="D120" s="1">
        <v>0</v>
      </c>
      <c r="E120" s="1" t="s">
        <v>11</v>
      </c>
      <c r="F120" s="1" t="s">
        <v>12</v>
      </c>
      <c r="G120" s="1">
        <v>8601.3292999999994</v>
      </c>
      <c r="H120" t="str">
        <f t="shared" si="1"/>
        <v>40-49</v>
      </c>
    </row>
    <row r="121" spans="1:8" ht="15.75" customHeight="1">
      <c r="A121" s="1">
        <v>37</v>
      </c>
      <c r="B121" s="1" t="s">
        <v>7</v>
      </c>
      <c r="C121" s="1">
        <v>23.37</v>
      </c>
      <c r="D121" s="1">
        <v>2</v>
      </c>
      <c r="E121" s="1" t="s">
        <v>11</v>
      </c>
      <c r="F121" s="1" t="s">
        <v>13</v>
      </c>
      <c r="G121" s="1">
        <v>6686.4313000000002</v>
      </c>
      <c r="H121" t="str">
        <f t="shared" si="1"/>
        <v>30-39</v>
      </c>
    </row>
    <row r="122" spans="1:8" ht="15.75" customHeight="1">
      <c r="A122" s="1">
        <v>44</v>
      </c>
      <c r="B122" s="1" t="s">
        <v>10</v>
      </c>
      <c r="C122" s="1">
        <v>37.1</v>
      </c>
      <c r="D122" s="1">
        <v>2</v>
      </c>
      <c r="E122" s="1" t="s">
        <v>11</v>
      </c>
      <c r="F122" s="1" t="s">
        <v>9</v>
      </c>
      <c r="G122" s="1">
        <v>7740.3370000000004</v>
      </c>
      <c r="H122" t="str">
        <f t="shared" si="1"/>
        <v>40-49</v>
      </c>
    </row>
    <row r="123" spans="1:8" ht="15.75" customHeight="1">
      <c r="A123" s="1">
        <v>18</v>
      </c>
      <c r="B123" s="1" t="s">
        <v>10</v>
      </c>
      <c r="C123" s="1">
        <v>23.75</v>
      </c>
      <c r="D123" s="1">
        <v>0</v>
      </c>
      <c r="E123" s="1" t="s">
        <v>11</v>
      </c>
      <c r="F123" s="1" t="s">
        <v>14</v>
      </c>
      <c r="G123" s="1">
        <v>1705.6244999999999</v>
      </c>
      <c r="H123" t="str">
        <f t="shared" si="1"/>
        <v>18-29</v>
      </c>
    </row>
    <row r="124" spans="1:8" ht="15.75" customHeight="1">
      <c r="A124" s="1">
        <v>20</v>
      </c>
      <c r="B124" s="1" t="s">
        <v>7</v>
      </c>
      <c r="C124" s="1">
        <v>28.975000000000001</v>
      </c>
      <c r="D124" s="1">
        <v>0</v>
      </c>
      <c r="E124" s="1" t="s">
        <v>11</v>
      </c>
      <c r="F124" s="1" t="s">
        <v>13</v>
      </c>
      <c r="G124" s="1">
        <v>2257.47525</v>
      </c>
      <c r="H124" t="str">
        <f t="shared" si="1"/>
        <v>18-29</v>
      </c>
    </row>
    <row r="125" spans="1:8" ht="15.75" customHeight="1">
      <c r="A125" s="1">
        <v>44</v>
      </c>
      <c r="B125" s="1" t="s">
        <v>10</v>
      </c>
      <c r="C125" s="1">
        <v>31.35</v>
      </c>
      <c r="D125" s="1">
        <v>1</v>
      </c>
      <c r="E125" s="1" t="s">
        <v>8</v>
      </c>
      <c r="F125" s="1" t="s">
        <v>14</v>
      </c>
      <c r="G125" s="1">
        <v>39556.494500000001</v>
      </c>
      <c r="H125" t="str">
        <f t="shared" si="1"/>
        <v>40-49</v>
      </c>
    </row>
    <row r="126" spans="1:8" ht="15.75" customHeight="1">
      <c r="A126" s="1">
        <v>47</v>
      </c>
      <c r="B126" s="1" t="s">
        <v>7</v>
      </c>
      <c r="C126" s="1">
        <v>33.914999999999999</v>
      </c>
      <c r="D126" s="1">
        <v>3</v>
      </c>
      <c r="E126" s="1" t="s">
        <v>11</v>
      </c>
      <c r="F126" s="1" t="s">
        <v>13</v>
      </c>
      <c r="G126" s="1">
        <v>10115.00885</v>
      </c>
      <c r="H126" t="str">
        <f t="shared" si="1"/>
        <v>40-49</v>
      </c>
    </row>
    <row r="127" spans="1:8" ht="15.75" customHeight="1">
      <c r="A127" s="1">
        <v>26</v>
      </c>
      <c r="B127" s="1" t="s">
        <v>7</v>
      </c>
      <c r="C127" s="1">
        <v>28.785</v>
      </c>
      <c r="D127" s="1">
        <v>0</v>
      </c>
      <c r="E127" s="1" t="s">
        <v>11</v>
      </c>
      <c r="F127" s="1" t="s">
        <v>14</v>
      </c>
      <c r="G127" s="1">
        <v>3385.3991500000002</v>
      </c>
      <c r="H127" t="str">
        <f t="shared" si="1"/>
        <v>18-29</v>
      </c>
    </row>
    <row r="128" spans="1:8" ht="15.75" customHeight="1">
      <c r="A128" s="1">
        <v>19</v>
      </c>
      <c r="B128" s="1" t="s">
        <v>7</v>
      </c>
      <c r="C128" s="1">
        <v>28.3</v>
      </c>
      <c r="D128" s="1">
        <v>0</v>
      </c>
      <c r="E128" s="1" t="s">
        <v>8</v>
      </c>
      <c r="F128" s="1" t="s">
        <v>9</v>
      </c>
      <c r="G128" s="1">
        <v>17081.080000000002</v>
      </c>
      <c r="H128" t="str">
        <f t="shared" si="1"/>
        <v>18-29</v>
      </c>
    </row>
    <row r="129" spans="1:8" ht="15.75" customHeight="1">
      <c r="A129" s="1">
        <v>52</v>
      </c>
      <c r="B129" s="1" t="s">
        <v>7</v>
      </c>
      <c r="C129" s="1">
        <v>37.4</v>
      </c>
      <c r="D129" s="1">
        <v>0</v>
      </c>
      <c r="E129" s="1" t="s">
        <v>11</v>
      </c>
      <c r="F129" s="1" t="s">
        <v>9</v>
      </c>
      <c r="G129" s="1">
        <v>9634.5380000000005</v>
      </c>
      <c r="H129" t="str">
        <f t="shared" si="1"/>
        <v>50-59</v>
      </c>
    </row>
    <row r="130" spans="1:8" ht="15.75" customHeight="1">
      <c r="A130" s="1">
        <v>32</v>
      </c>
      <c r="B130" s="1" t="s">
        <v>7</v>
      </c>
      <c r="C130" s="1">
        <v>17.765000000000001</v>
      </c>
      <c r="D130" s="1">
        <v>2</v>
      </c>
      <c r="E130" s="1" t="s">
        <v>8</v>
      </c>
      <c r="F130" s="1" t="s">
        <v>13</v>
      </c>
      <c r="G130" s="1">
        <v>32734.186300000001</v>
      </c>
      <c r="H130" t="str">
        <f t="shared" si="1"/>
        <v>30-39</v>
      </c>
    </row>
    <row r="131" spans="1:8" ht="15.75" customHeight="1">
      <c r="A131" s="1">
        <v>38</v>
      </c>
      <c r="B131" s="1" t="s">
        <v>10</v>
      </c>
      <c r="C131" s="1">
        <v>34.700000000000003</v>
      </c>
      <c r="D131" s="1">
        <v>2</v>
      </c>
      <c r="E131" s="1" t="s">
        <v>11</v>
      </c>
      <c r="F131" s="1" t="s">
        <v>9</v>
      </c>
      <c r="G131" s="1">
        <v>6082.4049999999997</v>
      </c>
      <c r="H131" t="str">
        <f t="shared" ref="H131:H194" si="2">IF(A131&lt;30,"18-29",IF(A131&lt;40,"30-39",IF(A131&lt;50,"40-49",IF(A131&lt;60,"50-59","60+"))))</f>
        <v>30-39</v>
      </c>
    </row>
    <row r="132" spans="1:8" ht="15.75" customHeight="1">
      <c r="A132" s="1">
        <v>59</v>
      </c>
      <c r="B132" s="1" t="s">
        <v>7</v>
      </c>
      <c r="C132" s="1">
        <v>26.504999999999999</v>
      </c>
      <c r="D132" s="1">
        <v>0</v>
      </c>
      <c r="E132" s="1" t="s">
        <v>11</v>
      </c>
      <c r="F132" s="1" t="s">
        <v>14</v>
      </c>
      <c r="G132" s="1">
        <v>12815.444949999999</v>
      </c>
      <c r="H132" t="str">
        <f t="shared" si="2"/>
        <v>50-59</v>
      </c>
    </row>
    <row r="133" spans="1:8" ht="15.75" customHeight="1">
      <c r="A133" s="1">
        <v>61</v>
      </c>
      <c r="B133" s="1" t="s">
        <v>7</v>
      </c>
      <c r="C133" s="1">
        <v>22.04</v>
      </c>
      <c r="D133" s="1">
        <v>0</v>
      </c>
      <c r="E133" s="1" t="s">
        <v>11</v>
      </c>
      <c r="F133" s="1" t="s">
        <v>14</v>
      </c>
      <c r="G133" s="1">
        <v>13616.3586</v>
      </c>
      <c r="H133" t="str">
        <f t="shared" si="2"/>
        <v>60+</v>
      </c>
    </row>
    <row r="134" spans="1:8" ht="15.75" customHeight="1">
      <c r="A134" s="1">
        <v>53</v>
      </c>
      <c r="B134" s="1" t="s">
        <v>7</v>
      </c>
      <c r="C134" s="1">
        <v>35.9</v>
      </c>
      <c r="D134" s="1">
        <v>2</v>
      </c>
      <c r="E134" s="1" t="s">
        <v>11</v>
      </c>
      <c r="F134" s="1" t="s">
        <v>9</v>
      </c>
      <c r="G134" s="1">
        <v>11163.567999999999</v>
      </c>
      <c r="H134" t="str">
        <f t="shared" si="2"/>
        <v>50-59</v>
      </c>
    </row>
    <row r="135" spans="1:8" ht="15.75" customHeight="1">
      <c r="A135" s="1">
        <v>19</v>
      </c>
      <c r="B135" s="1" t="s">
        <v>10</v>
      </c>
      <c r="C135" s="1">
        <v>25.555</v>
      </c>
      <c r="D135" s="1">
        <v>0</v>
      </c>
      <c r="E135" s="1" t="s">
        <v>11</v>
      </c>
      <c r="F135" s="1" t="s">
        <v>13</v>
      </c>
      <c r="G135" s="1">
        <v>1632.5644500000001</v>
      </c>
      <c r="H135" t="str">
        <f t="shared" si="2"/>
        <v>18-29</v>
      </c>
    </row>
    <row r="136" spans="1:8" ht="15.75" customHeight="1">
      <c r="A136" s="1">
        <v>20</v>
      </c>
      <c r="B136" s="1" t="s">
        <v>7</v>
      </c>
      <c r="C136" s="1">
        <v>28.785</v>
      </c>
      <c r="D136" s="1">
        <v>0</v>
      </c>
      <c r="E136" s="1" t="s">
        <v>11</v>
      </c>
      <c r="F136" s="1" t="s">
        <v>14</v>
      </c>
      <c r="G136" s="1">
        <v>2457.2111500000001</v>
      </c>
      <c r="H136" t="str">
        <f t="shared" si="2"/>
        <v>18-29</v>
      </c>
    </row>
    <row r="137" spans="1:8" ht="15.75" customHeight="1">
      <c r="A137" s="1">
        <v>22</v>
      </c>
      <c r="B137" s="1" t="s">
        <v>7</v>
      </c>
      <c r="C137" s="1">
        <v>28.05</v>
      </c>
      <c r="D137" s="1">
        <v>0</v>
      </c>
      <c r="E137" s="1" t="s">
        <v>11</v>
      </c>
      <c r="F137" s="1" t="s">
        <v>12</v>
      </c>
      <c r="G137" s="1">
        <v>2155.6815000000001</v>
      </c>
      <c r="H137" t="str">
        <f t="shared" si="2"/>
        <v>18-29</v>
      </c>
    </row>
    <row r="138" spans="1:8" ht="15.75" customHeight="1">
      <c r="A138" s="1">
        <v>19</v>
      </c>
      <c r="B138" s="1" t="s">
        <v>10</v>
      </c>
      <c r="C138" s="1">
        <v>34.1</v>
      </c>
      <c r="D138" s="1">
        <v>0</v>
      </c>
      <c r="E138" s="1" t="s">
        <v>11</v>
      </c>
      <c r="F138" s="1" t="s">
        <v>9</v>
      </c>
      <c r="G138" s="1">
        <v>1261.442</v>
      </c>
      <c r="H138" t="str">
        <f t="shared" si="2"/>
        <v>18-29</v>
      </c>
    </row>
    <row r="139" spans="1:8" ht="15.75" customHeight="1">
      <c r="A139" s="1">
        <v>22</v>
      </c>
      <c r="B139" s="1" t="s">
        <v>10</v>
      </c>
      <c r="C139" s="1">
        <v>25.175000000000001</v>
      </c>
      <c r="D139" s="1">
        <v>0</v>
      </c>
      <c r="E139" s="1" t="s">
        <v>11</v>
      </c>
      <c r="F139" s="1" t="s">
        <v>13</v>
      </c>
      <c r="G139" s="1">
        <v>2045.68525</v>
      </c>
      <c r="H139" t="str">
        <f t="shared" si="2"/>
        <v>18-29</v>
      </c>
    </row>
    <row r="140" spans="1:8" ht="15.75" customHeight="1">
      <c r="A140" s="1">
        <v>54</v>
      </c>
      <c r="B140" s="1" t="s">
        <v>7</v>
      </c>
      <c r="C140" s="1">
        <v>31.9</v>
      </c>
      <c r="D140" s="1">
        <v>3</v>
      </c>
      <c r="E140" s="1" t="s">
        <v>11</v>
      </c>
      <c r="F140" s="1" t="s">
        <v>12</v>
      </c>
      <c r="G140" s="1">
        <v>27322.73386</v>
      </c>
      <c r="H140" t="str">
        <f t="shared" si="2"/>
        <v>50-59</v>
      </c>
    </row>
    <row r="141" spans="1:8" ht="15.75" customHeight="1">
      <c r="A141" s="1">
        <v>22</v>
      </c>
      <c r="B141" s="1" t="s">
        <v>7</v>
      </c>
      <c r="C141" s="1">
        <v>36</v>
      </c>
      <c r="D141" s="1">
        <v>0</v>
      </c>
      <c r="E141" s="1" t="s">
        <v>11</v>
      </c>
      <c r="F141" s="1" t="s">
        <v>9</v>
      </c>
      <c r="G141" s="1">
        <v>2166.732</v>
      </c>
      <c r="H141" t="str">
        <f t="shared" si="2"/>
        <v>18-29</v>
      </c>
    </row>
    <row r="142" spans="1:8" ht="15.75" customHeight="1">
      <c r="A142" s="1">
        <v>34</v>
      </c>
      <c r="B142" s="1" t="s">
        <v>10</v>
      </c>
      <c r="C142" s="1">
        <v>22.42</v>
      </c>
      <c r="D142" s="1">
        <v>2</v>
      </c>
      <c r="E142" s="1" t="s">
        <v>11</v>
      </c>
      <c r="F142" s="1" t="s">
        <v>14</v>
      </c>
      <c r="G142" s="1">
        <v>27375.904780000001</v>
      </c>
      <c r="H142" t="str">
        <f t="shared" si="2"/>
        <v>30-39</v>
      </c>
    </row>
    <row r="143" spans="1:8" ht="15.75" customHeight="1">
      <c r="A143" s="1">
        <v>26</v>
      </c>
      <c r="B143" s="1" t="s">
        <v>10</v>
      </c>
      <c r="C143" s="1">
        <v>32.49</v>
      </c>
      <c r="D143" s="1">
        <v>1</v>
      </c>
      <c r="E143" s="1" t="s">
        <v>11</v>
      </c>
      <c r="F143" s="1" t="s">
        <v>14</v>
      </c>
      <c r="G143" s="1">
        <v>3490.5491000000002</v>
      </c>
      <c r="H143" t="str">
        <f t="shared" si="2"/>
        <v>18-29</v>
      </c>
    </row>
    <row r="144" spans="1:8" ht="15.75" customHeight="1">
      <c r="A144" s="1">
        <v>34</v>
      </c>
      <c r="B144" s="1" t="s">
        <v>10</v>
      </c>
      <c r="C144" s="1">
        <v>25.3</v>
      </c>
      <c r="D144" s="1">
        <v>2</v>
      </c>
      <c r="E144" s="1" t="s">
        <v>8</v>
      </c>
      <c r="F144" s="1" t="s">
        <v>12</v>
      </c>
      <c r="G144" s="1">
        <v>18972.494999999999</v>
      </c>
      <c r="H144" t="str">
        <f t="shared" si="2"/>
        <v>30-39</v>
      </c>
    </row>
    <row r="145" spans="1:8" ht="15.75" customHeight="1">
      <c r="A145" s="1">
        <v>29</v>
      </c>
      <c r="B145" s="1" t="s">
        <v>10</v>
      </c>
      <c r="C145" s="1">
        <v>29.734999999999999</v>
      </c>
      <c r="D145" s="1">
        <v>2</v>
      </c>
      <c r="E145" s="1" t="s">
        <v>11</v>
      </c>
      <c r="F145" s="1" t="s">
        <v>13</v>
      </c>
      <c r="G145" s="1">
        <v>18157.876</v>
      </c>
      <c r="H145" t="str">
        <f t="shared" si="2"/>
        <v>18-29</v>
      </c>
    </row>
    <row r="146" spans="1:8" ht="15.75" customHeight="1">
      <c r="A146" s="1">
        <v>30</v>
      </c>
      <c r="B146" s="1" t="s">
        <v>10</v>
      </c>
      <c r="C146" s="1">
        <v>28.69</v>
      </c>
      <c r="D146" s="1">
        <v>3</v>
      </c>
      <c r="E146" s="1" t="s">
        <v>8</v>
      </c>
      <c r="F146" s="1" t="s">
        <v>13</v>
      </c>
      <c r="G146" s="1">
        <v>20745.989099999999</v>
      </c>
      <c r="H146" t="str">
        <f t="shared" si="2"/>
        <v>30-39</v>
      </c>
    </row>
    <row r="147" spans="1:8" ht="15.75" customHeight="1">
      <c r="A147" s="1">
        <v>29</v>
      </c>
      <c r="B147" s="1" t="s">
        <v>7</v>
      </c>
      <c r="C147" s="1">
        <v>38.83</v>
      </c>
      <c r="D147" s="1">
        <v>3</v>
      </c>
      <c r="E147" s="1" t="s">
        <v>11</v>
      </c>
      <c r="F147" s="1" t="s">
        <v>12</v>
      </c>
      <c r="G147" s="1">
        <v>5138.2566999999999</v>
      </c>
      <c r="H147" t="str">
        <f t="shared" si="2"/>
        <v>18-29</v>
      </c>
    </row>
    <row r="148" spans="1:8" ht="15.75" customHeight="1">
      <c r="A148" s="1">
        <v>46</v>
      </c>
      <c r="B148" s="1" t="s">
        <v>10</v>
      </c>
      <c r="C148" s="1">
        <v>30.495000000000001</v>
      </c>
      <c r="D148" s="1">
        <v>3</v>
      </c>
      <c r="E148" s="1" t="s">
        <v>8</v>
      </c>
      <c r="F148" s="1" t="s">
        <v>13</v>
      </c>
      <c r="G148" s="1">
        <v>40720.551050000002</v>
      </c>
      <c r="H148" t="str">
        <f t="shared" si="2"/>
        <v>40-49</v>
      </c>
    </row>
    <row r="149" spans="1:8" ht="15.75" customHeight="1">
      <c r="A149" s="1">
        <v>51</v>
      </c>
      <c r="B149" s="1" t="s">
        <v>7</v>
      </c>
      <c r="C149" s="1">
        <v>37.729999999999997</v>
      </c>
      <c r="D149" s="1">
        <v>1</v>
      </c>
      <c r="E149" s="1" t="s">
        <v>11</v>
      </c>
      <c r="F149" s="1" t="s">
        <v>12</v>
      </c>
      <c r="G149" s="1">
        <v>9877.6077000000005</v>
      </c>
      <c r="H149" t="str">
        <f t="shared" si="2"/>
        <v>50-59</v>
      </c>
    </row>
    <row r="150" spans="1:8" ht="15.75" customHeight="1">
      <c r="A150" s="1">
        <v>53</v>
      </c>
      <c r="B150" s="1" t="s">
        <v>7</v>
      </c>
      <c r="C150" s="1">
        <v>37.43</v>
      </c>
      <c r="D150" s="1">
        <v>1</v>
      </c>
      <c r="E150" s="1" t="s">
        <v>11</v>
      </c>
      <c r="F150" s="1" t="s">
        <v>13</v>
      </c>
      <c r="G150" s="1">
        <v>10959.6947</v>
      </c>
      <c r="H150" t="str">
        <f t="shared" si="2"/>
        <v>50-59</v>
      </c>
    </row>
    <row r="151" spans="1:8" ht="15.75" customHeight="1">
      <c r="A151" s="1">
        <v>19</v>
      </c>
      <c r="B151" s="1" t="s">
        <v>10</v>
      </c>
      <c r="C151" s="1">
        <v>28.4</v>
      </c>
      <c r="D151" s="1">
        <v>1</v>
      </c>
      <c r="E151" s="1" t="s">
        <v>11</v>
      </c>
      <c r="F151" s="1" t="s">
        <v>9</v>
      </c>
      <c r="G151" s="1">
        <v>1842.519</v>
      </c>
      <c r="H151" t="str">
        <f t="shared" si="2"/>
        <v>18-29</v>
      </c>
    </row>
    <row r="152" spans="1:8" ht="15.75" customHeight="1">
      <c r="A152" s="1">
        <v>35</v>
      </c>
      <c r="B152" s="1" t="s">
        <v>10</v>
      </c>
      <c r="C152" s="1">
        <v>24.13</v>
      </c>
      <c r="D152" s="1">
        <v>1</v>
      </c>
      <c r="E152" s="1" t="s">
        <v>11</v>
      </c>
      <c r="F152" s="1" t="s">
        <v>13</v>
      </c>
      <c r="G152" s="1">
        <v>5125.2156999999997</v>
      </c>
      <c r="H152" t="str">
        <f t="shared" si="2"/>
        <v>30-39</v>
      </c>
    </row>
    <row r="153" spans="1:8" ht="15.75" customHeight="1">
      <c r="A153" s="1">
        <v>48</v>
      </c>
      <c r="B153" s="1" t="s">
        <v>10</v>
      </c>
      <c r="C153" s="1">
        <v>29.7</v>
      </c>
      <c r="D153" s="1">
        <v>0</v>
      </c>
      <c r="E153" s="1" t="s">
        <v>11</v>
      </c>
      <c r="F153" s="1" t="s">
        <v>12</v>
      </c>
      <c r="G153" s="1">
        <v>7789.6350000000002</v>
      </c>
      <c r="H153" t="str">
        <f t="shared" si="2"/>
        <v>40-49</v>
      </c>
    </row>
    <row r="154" spans="1:8" ht="15.75" customHeight="1">
      <c r="A154" s="1">
        <v>32</v>
      </c>
      <c r="B154" s="1" t="s">
        <v>7</v>
      </c>
      <c r="C154" s="1">
        <v>37.145000000000003</v>
      </c>
      <c r="D154" s="1">
        <v>3</v>
      </c>
      <c r="E154" s="1" t="s">
        <v>11</v>
      </c>
      <c r="F154" s="1" t="s">
        <v>14</v>
      </c>
      <c r="G154" s="1">
        <v>6334.3435499999996</v>
      </c>
      <c r="H154" t="str">
        <f t="shared" si="2"/>
        <v>30-39</v>
      </c>
    </row>
    <row r="155" spans="1:8" ht="15.75" customHeight="1">
      <c r="A155" s="1">
        <v>42</v>
      </c>
      <c r="B155" s="1" t="s">
        <v>7</v>
      </c>
      <c r="C155" s="1">
        <v>23.37</v>
      </c>
      <c r="D155" s="1">
        <v>0</v>
      </c>
      <c r="E155" s="1" t="s">
        <v>8</v>
      </c>
      <c r="F155" s="1" t="s">
        <v>14</v>
      </c>
      <c r="G155" s="1">
        <v>19964.746299999999</v>
      </c>
      <c r="H155" t="str">
        <f t="shared" si="2"/>
        <v>40-49</v>
      </c>
    </row>
    <row r="156" spans="1:8" ht="15.75" customHeight="1">
      <c r="A156" s="1">
        <v>40</v>
      </c>
      <c r="B156" s="1" t="s">
        <v>7</v>
      </c>
      <c r="C156" s="1">
        <v>25.46</v>
      </c>
      <c r="D156" s="1">
        <v>1</v>
      </c>
      <c r="E156" s="1" t="s">
        <v>11</v>
      </c>
      <c r="F156" s="1" t="s">
        <v>14</v>
      </c>
      <c r="G156" s="1">
        <v>7077.1894000000002</v>
      </c>
      <c r="H156" t="str">
        <f t="shared" si="2"/>
        <v>40-49</v>
      </c>
    </row>
    <row r="157" spans="1:8" ht="15.75" customHeight="1">
      <c r="A157" s="1">
        <v>44</v>
      </c>
      <c r="B157" s="1" t="s">
        <v>10</v>
      </c>
      <c r="C157" s="1">
        <v>39.520000000000003</v>
      </c>
      <c r="D157" s="1">
        <v>0</v>
      </c>
      <c r="E157" s="1" t="s">
        <v>11</v>
      </c>
      <c r="F157" s="1" t="s">
        <v>13</v>
      </c>
      <c r="G157" s="1">
        <v>6948.7007999999996</v>
      </c>
      <c r="H157" t="str">
        <f t="shared" si="2"/>
        <v>40-49</v>
      </c>
    </row>
    <row r="158" spans="1:8" ht="15.75" customHeight="1">
      <c r="A158" s="1">
        <v>48</v>
      </c>
      <c r="B158" s="1" t="s">
        <v>10</v>
      </c>
      <c r="C158" s="1">
        <v>24.42</v>
      </c>
      <c r="D158" s="1">
        <v>0</v>
      </c>
      <c r="E158" s="1" t="s">
        <v>8</v>
      </c>
      <c r="F158" s="1" t="s">
        <v>12</v>
      </c>
      <c r="G158" s="1">
        <v>21223.675800000001</v>
      </c>
      <c r="H158" t="str">
        <f t="shared" si="2"/>
        <v>40-49</v>
      </c>
    </row>
    <row r="159" spans="1:8" ht="15.75" customHeight="1">
      <c r="A159" s="1">
        <v>18</v>
      </c>
      <c r="B159" s="1" t="s">
        <v>10</v>
      </c>
      <c r="C159" s="1">
        <v>25.175000000000001</v>
      </c>
      <c r="D159" s="1">
        <v>0</v>
      </c>
      <c r="E159" s="1" t="s">
        <v>8</v>
      </c>
      <c r="F159" s="1" t="s">
        <v>14</v>
      </c>
      <c r="G159" s="1">
        <v>15518.180249999999</v>
      </c>
      <c r="H159" t="str">
        <f t="shared" si="2"/>
        <v>18-29</v>
      </c>
    </row>
    <row r="160" spans="1:8" ht="15.75" customHeight="1">
      <c r="A160" s="1">
        <v>30</v>
      </c>
      <c r="B160" s="1" t="s">
        <v>10</v>
      </c>
      <c r="C160" s="1">
        <v>35.53</v>
      </c>
      <c r="D160" s="1">
        <v>0</v>
      </c>
      <c r="E160" s="1" t="s">
        <v>8</v>
      </c>
      <c r="F160" s="1" t="s">
        <v>12</v>
      </c>
      <c r="G160" s="1">
        <v>36950.256699999998</v>
      </c>
      <c r="H160" t="str">
        <f t="shared" si="2"/>
        <v>30-39</v>
      </c>
    </row>
    <row r="161" spans="1:8" ht="15.75" customHeight="1">
      <c r="A161" s="1">
        <v>50</v>
      </c>
      <c r="B161" s="1" t="s">
        <v>7</v>
      </c>
      <c r="C161" s="1">
        <v>27.83</v>
      </c>
      <c r="D161" s="1">
        <v>3</v>
      </c>
      <c r="E161" s="1" t="s">
        <v>11</v>
      </c>
      <c r="F161" s="1" t="s">
        <v>12</v>
      </c>
      <c r="G161" s="1">
        <v>19749.383379999999</v>
      </c>
      <c r="H161" t="str">
        <f t="shared" si="2"/>
        <v>50-59</v>
      </c>
    </row>
    <row r="162" spans="1:8" ht="15.75" customHeight="1">
      <c r="A162" s="1">
        <v>42</v>
      </c>
      <c r="B162" s="1" t="s">
        <v>7</v>
      </c>
      <c r="C162" s="1">
        <v>26.6</v>
      </c>
      <c r="D162" s="1">
        <v>0</v>
      </c>
      <c r="E162" s="1" t="s">
        <v>8</v>
      </c>
      <c r="F162" s="1" t="s">
        <v>13</v>
      </c>
      <c r="G162" s="1">
        <v>21348.705999999998</v>
      </c>
      <c r="H162" t="str">
        <f t="shared" si="2"/>
        <v>40-49</v>
      </c>
    </row>
    <row r="163" spans="1:8" ht="15.75" customHeight="1">
      <c r="A163" s="1">
        <v>18</v>
      </c>
      <c r="B163" s="1" t="s">
        <v>7</v>
      </c>
      <c r="C163" s="1">
        <v>36.85</v>
      </c>
      <c r="D163" s="1">
        <v>0</v>
      </c>
      <c r="E163" s="1" t="s">
        <v>8</v>
      </c>
      <c r="F163" s="1" t="s">
        <v>12</v>
      </c>
      <c r="G163" s="1">
        <v>36149.483500000002</v>
      </c>
      <c r="H163" t="str">
        <f t="shared" si="2"/>
        <v>18-29</v>
      </c>
    </row>
    <row r="164" spans="1:8" ht="15.75" customHeight="1">
      <c r="A164" s="1">
        <v>54</v>
      </c>
      <c r="B164" s="1" t="s">
        <v>10</v>
      </c>
      <c r="C164" s="1">
        <v>39.6</v>
      </c>
      <c r="D164" s="1">
        <v>1</v>
      </c>
      <c r="E164" s="1" t="s">
        <v>11</v>
      </c>
      <c r="F164" s="1" t="s">
        <v>9</v>
      </c>
      <c r="G164" s="1">
        <v>10450.552</v>
      </c>
      <c r="H164" t="str">
        <f t="shared" si="2"/>
        <v>50-59</v>
      </c>
    </row>
    <row r="165" spans="1:8" ht="15.75" customHeight="1">
      <c r="A165" s="1">
        <v>32</v>
      </c>
      <c r="B165" s="1" t="s">
        <v>7</v>
      </c>
      <c r="C165" s="1">
        <v>29.8</v>
      </c>
      <c r="D165" s="1">
        <v>2</v>
      </c>
      <c r="E165" s="1" t="s">
        <v>11</v>
      </c>
      <c r="F165" s="1" t="s">
        <v>9</v>
      </c>
      <c r="G165" s="1">
        <v>5152.134</v>
      </c>
      <c r="H165" t="str">
        <f t="shared" si="2"/>
        <v>30-39</v>
      </c>
    </row>
    <row r="166" spans="1:8" ht="15.75" customHeight="1">
      <c r="A166" s="1">
        <v>37</v>
      </c>
      <c r="B166" s="1" t="s">
        <v>10</v>
      </c>
      <c r="C166" s="1">
        <v>29.64</v>
      </c>
      <c r="D166" s="1">
        <v>0</v>
      </c>
      <c r="E166" s="1" t="s">
        <v>11</v>
      </c>
      <c r="F166" s="1" t="s">
        <v>13</v>
      </c>
      <c r="G166" s="1">
        <v>5028.1466</v>
      </c>
      <c r="H166" t="str">
        <f t="shared" si="2"/>
        <v>30-39</v>
      </c>
    </row>
    <row r="167" spans="1:8" ht="15.75" customHeight="1">
      <c r="A167" s="1">
        <v>47</v>
      </c>
      <c r="B167" s="1" t="s">
        <v>10</v>
      </c>
      <c r="C167" s="1">
        <v>28.215</v>
      </c>
      <c r="D167" s="1">
        <v>4</v>
      </c>
      <c r="E167" s="1" t="s">
        <v>11</v>
      </c>
      <c r="F167" s="1" t="s">
        <v>14</v>
      </c>
      <c r="G167" s="1">
        <v>10407.085849999999</v>
      </c>
      <c r="H167" t="str">
        <f t="shared" si="2"/>
        <v>40-49</v>
      </c>
    </row>
    <row r="168" spans="1:8" ht="15.75" customHeight="1">
      <c r="A168" s="1">
        <v>20</v>
      </c>
      <c r="B168" s="1" t="s">
        <v>7</v>
      </c>
      <c r="C168" s="1">
        <v>37</v>
      </c>
      <c r="D168" s="1">
        <v>5</v>
      </c>
      <c r="E168" s="1" t="s">
        <v>11</v>
      </c>
      <c r="F168" s="1" t="s">
        <v>9</v>
      </c>
      <c r="G168" s="1">
        <v>4830.63</v>
      </c>
      <c r="H168" t="str">
        <f t="shared" si="2"/>
        <v>18-29</v>
      </c>
    </row>
    <row r="169" spans="1:8" ht="15.75" customHeight="1">
      <c r="A169" s="1">
        <v>32</v>
      </c>
      <c r="B169" s="1" t="s">
        <v>7</v>
      </c>
      <c r="C169" s="1">
        <v>33.155000000000001</v>
      </c>
      <c r="D169" s="1">
        <v>3</v>
      </c>
      <c r="E169" s="1" t="s">
        <v>11</v>
      </c>
      <c r="F169" s="1" t="s">
        <v>13</v>
      </c>
      <c r="G169" s="1">
        <v>6128.79745</v>
      </c>
      <c r="H169" t="str">
        <f t="shared" si="2"/>
        <v>30-39</v>
      </c>
    </row>
    <row r="170" spans="1:8" ht="15.75" customHeight="1">
      <c r="A170" s="1">
        <v>19</v>
      </c>
      <c r="B170" s="1" t="s">
        <v>7</v>
      </c>
      <c r="C170" s="1">
        <v>31.824999999999999</v>
      </c>
      <c r="D170" s="1">
        <v>1</v>
      </c>
      <c r="E170" s="1" t="s">
        <v>11</v>
      </c>
      <c r="F170" s="1" t="s">
        <v>13</v>
      </c>
      <c r="G170" s="1">
        <v>2719.2797500000001</v>
      </c>
      <c r="H170" t="str">
        <f t="shared" si="2"/>
        <v>18-29</v>
      </c>
    </row>
    <row r="171" spans="1:8" ht="15.75" customHeight="1">
      <c r="A171" s="1">
        <v>27</v>
      </c>
      <c r="B171" s="1" t="s">
        <v>10</v>
      </c>
      <c r="C171" s="1">
        <v>18.905000000000001</v>
      </c>
      <c r="D171" s="1">
        <v>3</v>
      </c>
      <c r="E171" s="1" t="s">
        <v>11</v>
      </c>
      <c r="F171" s="1" t="s">
        <v>14</v>
      </c>
      <c r="G171" s="1">
        <v>4827.9049500000001</v>
      </c>
      <c r="H171" t="str">
        <f t="shared" si="2"/>
        <v>18-29</v>
      </c>
    </row>
    <row r="172" spans="1:8" ht="15.75" customHeight="1">
      <c r="A172" s="1">
        <v>63</v>
      </c>
      <c r="B172" s="1" t="s">
        <v>10</v>
      </c>
      <c r="C172" s="1">
        <v>41.47</v>
      </c>
      <c r="D172" s="1">
        <v>0</v>
      </c>
      <c r="E172" s="1" t="s">
        <v>11</v>
      </c>
      <c r="F172" s="1" t="s">
        <v>12</v>
      </c>
      <c r="G172" s="1">
        <v>13405.390299999999</v>
      </c>
      <c r="H172" t="str">
        <f t="shared" si="2"/>
        <v>60+</v>
      </c>
    </row>
    <row r="173" spans="1:8" ht="15.75" customHeight="1">
      <c r="A173" s="1">
        <v>49</v>
      </c>
      <c r="B173" s="1" t="s">
        <v>10</v>
      </c>
      <c r="C173" s="1">
        <v>30.3</v>
      </c>
      <c r="D173" s="1">
        <v>0</v>
      </c>
      <c r="E173" s="1" t="s">
        <v>11</v>
      </c>
      <c r="F173" s="1" t="s">
        <v>9</v>
      </c>
      <c r="G173" s="1">
        <v>8116.68</v>
      </c>
      <c r="H173" t="str">
        <f t="shared" si="2"/>
        <v>40-49</v>
      </c>
    </row>
    <row r="174" spans="1:8" ht="15.75" customHeight="1">
      <c r="A174" s="1">
        <v>18</v>
      </c>
      <c r="B174" s="1" t="s">
        <v>10</v>
      </c>
      <c r="C174" s="1">
        <v>15.96</v>
      </c>
      <c r="D174" s="1">
        <v>0</v>
      </c>
      <c r="E174" s="1" t="s">
        <v>11</v>
      </c>
      <c r="F174" s="1" t="s">
        <v>14</v>
      </c>
      <c r="G174" s="1">
        <v>1694.7963999999999</v>
      </c>
      <c r="H174" t="str">
        <f t="shared" si="2"/>
        <v>18-29</v>
      </c>
    </row>
    <row r="175" spans="1:8" ht="15.75" customHeight="1">
      <c r="A175" s="1">
        <v>35</v>
      </c>
      <c r="B175" s="1" t="s">
        <v>7</v>
      </c>
      <c r="C175" s="1">
        <v>34.799999999999997</v>
      </c>
      <c r="D175" s="1">
        <v>1</v>
      </c>
      <c r="E175" s="1" t="s">
        <v>11</v>
      </c>
      <c r="F175" s="1" t="s">
        <v>9</v>
      </c>
      <c r="G175" s="1">
        <v>5246.0469999999996</v>
      </c>
      <c r="H175" t="str">
        <f t="shared" si="2"/>
        <v>30-39</v>
      </c>
    </row>
    <row r="176" spans="1:8" ht="15.75" customHeight="1">
      <c r="A176" s="1">
        <v>24</v>
      </c>
      <c r="B176" s="1" t="s">
        <v>7</v>
      </c>
      <c r="C176" s="1">
        <v>33.344999999999999</v>
      </c>
      <c r="D176" s="1">
        <v>0</v>
      </c>
      <c r="E176" s="1" t="s">
        <v>11</v>
      </c>
      <c r="F176" s="1" t="s">
        <v>13</v>
      </c>
      <c r="G176" s="1">
        <v>2855.4375500000001</v>
      </c>
      <c r="H176" t="str">
        <f t="shared" si="2"/>
        <v>18-29</v>
      </c>
    </row>
    <row r="177" spans="1:8" ht="15.75" customHeight="1">
      <c r="A177" s="1">
        <v>63</v>
      </c>
      <c r="B177" s="1" t="s">
        <v>7</v>
      </c>
      <c r="C177" s="1">
        <v>37.700000000000003</v>
      </c>
      <c r="D177" s="1">
        <v>0</v>
      </c>
      <c r="E177" s="1" t="s">
        <v>8</v>
      </c>
      <c r="F177" s="1" t="s">
        <v>9</v>
      </c>
      <c r="G177" s="1">
        <v>48824.45</v>
      </c>
      <c r="H177" t="str">
        <f t="shared" si="2"/>
        <v>60+</v>
      </c>
    </row>
    <row r="178" spans="1:8" ht="15.75" customHeight="1">
      <c r="A178" s="1">
        <v>38</v>
      </c>
      <c r="B178" s="1" t="s">
        <v>10</v>
      </c>
      <c r="C178" s="1">
        <v>27.835000000000001</v>
      </c>
      <c r="D178" s="1">
        <v>2</v>
      </c>
      <c r="E178" s="1" t="s">
        <v>11</v>
      </c>
      <c r="F178" s="1" t="s">
        <v>13</v>
      </c>
      <c r="G178" s="1">
        <v>6455.86265</v>
      </c>
      <c r="H178" t="str">
        <f t="shared" si="2"/>
        <v>30-39</v>
      </c>
    </row>
    <row r="179" spans="1:8" ht="15.75" customHeight="1">
      <c r="A179" s="1">
        <v>54</v>
      </c>
      <c r="B179" s="1" t="s">
        <v>10</v>
      </c>
      <c r="C179" s="1">
        <v>29.2</v>
      </c>
      <c r="D179" s="1">
        <v>1</v>
      </c>
      <c r="E179" s="1" t="s">
        <v>11</v>
      </c>
      <c r="F179" s="1" t="s">
        <v>9</v>
      </c>
      <c r="G179" s="1">
        <v>10436.096</v>
      </c>
      <c r="H179" t="str">
        <f t="shared" si="2"/>
        <v>50-59</v>
      </c>
    </row>
    <row r="180" spans="1:8" ht="15.75" customHeight="1">
      <c r="A180" s="1">
        <v>46</v>
      </c>
      <c r="B180" s="1" t="s">
        <v>7</v>
      </c>
      <c r="C180" s="1">
        <v>28.9</v>
      </c>
      <c r="D180" s="1">
        <v>2</v>
      </c>
      <c r="E180" s="1" t="s">
        <v>11</v>
      </c>
      <c r="F180" s="1" t="s">
        <v>9</v>
      </c>
      <c r="G180" s="1">
        <v>8823.2790000000005</v>
      </c>
      <c r="H180" t="str">
        <f t="shared" si="2"/>
        <v>40-49</v>
      </c>
    </row>
    <row r="181" spans="1:8" ht="15.75" customHeight="1">
      <c r="A181" s="1">
        <v>41</v>
      </c>
      <c r="B181" s="1" t="s">
        <v>7</v>
      </c>
      <c r="C181" s="1">
        <v>33.155000000000001</v>
      </c>
      <c r="D181" s="1">
        <v>3</v>
      </c>
      <c r="E181" s="1" t="s">
        <v>11</v>
      </c>
      <c r="F181" s="1" t="s">
        <v>14</v>
      </c>
      <c r="G181" s="1">
        <v>8538.28845</v>
      </c>
      <c r="H181" t="str">
        <f t="shared" si="2"/>
        <v>40-49</v>
      </c>
    </row>
    <row r="182" spans="1:8" ht="15.75" customHeight="1">
      <c r="A182" s="1">
        <v>58</v>
      </c>
      <c r="B182" s="1" t="s">
        <v>10</v>
      </c>
      <c r="C182" s="1">
        <v>28.594999999999999</v>
      </c>
      <c r="D182" s="1">
        <v>0</v>
      </c>
      <c r="E182" s="1" t="s">
        <v>11</v>
      </c>
      <c r="F182" s="1" t="s">
        <v>13</v>
      </c>
      <c r="G182" s="1">
        <v>11735.87905</v>
      </c>
      <c r="H182" t="str">
        <f t="shared" si="2"/>
        <v>50-59</v>
      </c>
    </row>
    <row r="183" spans="1:8" ht="15.75" customHeight="1">
      <c r="A183" s="1">
        <v>18</v>
      </c>
      <c r="B183" s="1" t="s">
        <v>7</v>
      </c>
      <c r="C183" s="1">
        <v>38.28</v>
      </c>
      <c r="D183" s="1">
        <v>0</v>
      </c>
      <c r="E183" s="1" t="s">
        <v>11</v>
      </c>
      <c r="F183" s="1" t="s">
        <v>12</v>
      </c>
      <c r="G183" s="1">
        <v>1631.8212000000001</v>
      </c>
      <c r="H183" t="str">
        <f t="shared" si="2"/>
        <v>18-29</v>
      </c>
    </row>
    <row r="184" spans="1:8" ht="15.75" customHeight="1">
      <c r="A184" s="1">
        <v>22</v>
      </c>
      <c r="B184" s="1" t="s">
        <v>10</v>
      </c>
      <c r="C184" s="1">
        <v>19.95</v>
      </c>
      <c r="D184" s="1">
        <v>3</v>
      </c>
      <c r="E184" s="1" t="s">
        <v>11</v>
      </c>
      <c r="F184" s="1" t="s">
        <v>14</v>
      </c>
      <c r="G184" s="1">
        <v>4005.4225000000001</v>
      </c>
      <c r="H184" t="str">
        <f t="shared" si="2"/>
        <v>18-29</v>
      </c>
    </row>
    <row r="185" spans="1:8" ht="15.75" customHeight="1">
      <c r="A185" s="1">
        <v>44</v>
      </c>
      <c r="B185" s="1" t="s">
        <v>7</v>
      </c>
      <c r="C185" s="1">
        <v>26.41</v>
      </c>
      <c r="D185" s="1">
        <v>0</v>
      </c>
      <c r="E185" s="1" t="s">
        <v>11</v>
      </c>
      <c r="F185" s="1" t="s">
        <v>13</v>
      </c>
      <c r="G185" s="1">
        <v>7419.4778999999999</v>
      </c>
      <c r="H185" t="str">
        <f t="shared" si="2"/>
        <v>40-49</v>
      </c>
    </row>
    <row r="186" spans="1:8" ht="15.75" customHeight="1">
      <c r="A186" s="1">
        <v>44</v>
      </c>
      <c r="B186" s="1" t="s">
        <v>10</v>
      </c>
      <c r="C186" s="1">
        <v>30.69</v>
      </c>
      <c r="D186" s="1">
        <v>2</v>
      </c>
      <c r="E186" s="1" t="s">
        <v>11</v>
      </c>
      <c r="F186" s="1" t="s">
        <v>12</v>
      </c>
      <c r="G186" s="1">
        <v>7731.4270999999999</v>
      </c>
      <c r="H186" t="str">
        <f t="shared" si="2"/>
        <v>40-49</v>
      </c>
    </row>
    <row r="187" spans="1:8" ht="15.75" customHeight="1">
      <c r="A187" s="1">
        <v>36</v>
      </c>
      <c r="B187" s="1" t="s">
        <v>10</v>
      </c>
      <c r="C187" s="1">
        <v>41.895000000000003</v>
      </c>
      <c r="D187" s="1">
        <v>3</v>
      </c>
      <c r="E187" s="1" t="s">
        <v>8</v>
      </c>
      <c r="F187" s="1" t="s">
        <v>14</v>
      </c>
      <c r="G187" s="1">
        <v>43753.337050000002</v>
      </c>
      <c r="H187" t="str">
        <f t="shared" si="2"/>
        <v>30-39</v>
      </c>
    </row>
    <row r="188" spans="1:8" ht="15.75" customHeight="1">
      <c r="A188" s="1">
        <v>26</v>
      </c>
      <c r="B188" s="1" t="s">
        <v>7</v>
      </c>
      <c r="C188" s="1">
        <v>29.92</v>
      </c>
      <c r="D188" s="1">
        <v>2</v>
      </c>
      <c r="E188" s="1" t="s">
        <v>11</v>
      </c>
      <c r="F188" s="1" t="s">
        <v>12</v>
      </c>
      <c r="G188" s="1">
        <v>3981.9767999999999</v>
      </c>
      <c r="H188" t="str">
        <f t="shared" si="2"/>
        <v>18-29</v>
      </c>
    </row>
    <row r="189" spans="1:8" ht="15.75" customHeight="1">
      <c r="A189" s="1">
        <v>30</v>
      </c>
      <c r="B189" s="1" t="s">
        <v>7</v>
      </c>
      <c r="C189" s="1">
        <v>30.9</v>
      </c>
      <c r="D189" s="1">
        <v>3</v>
      </c>
      <c r="E189" s="1" t="s">
        <v>11</v>
      </c>
      <c r="F189" s="1" t="s">
        <v>9</v>
      </c>
      <c r="G189" s="1">
        <v>5325.6509999999998</v>
      </c>
      <c r="H189" t="str">
        <f t="shared" si="2"/>
        <v>30-39</v>
      </c>
    </row>
    <row r="190" spans="1:8" ht="15.75" customHeight="1">
      <c r="A190" s="1">
        <v>41</v>
      </c>
      <c r="B190" s="1" t="s">
        <v>7</v>
      </c>
      <c r="C190" s="1">
        <v>32.200000000000003</v>
      </c>
      <c r="D190" s="1">
        <v>1</v>
      </c>
      <c r="E190" s="1" t="s">
        <v>11</v>
      </c>
      <c r="F190" s="1" t="s">
        <v>9</v>
      </c>
      <c r="G190" s="1">
        <v>6775.9610000000002</v>
      </c>
      <c r="H190" t="str">
        <f t="shared" si="2"/>
        <v>40-49</v>
      </c>
    </row>
    <row r="191" spans="1:8" ht="15.75" customHeight="1">
      <c r="A191" s="1">
        <v>29</v>
      </c>
      <c r="B191" s="1" t="s">
        <v>7</v>
      </c>
      <c r="C191" s="1">
        <v>32.11</v>
      </c>
      <c r="D191" s="1">
        <v>2</v>
      </c>
      <c r="E191" s="1" t="s">
        <v>11</v>
      </c>
      <c r="F191" s="1" t="s">
        <v>13</v>
      </c>
      <c r="G191" s="1">
        <v>4922.9159</v>
      </c>
      <c r="H191" t="str">
        <f t="shared" si="2"/>
        <v>18-29</v>
      </c>
    </row>
    <row r="192" spans="1:8" ht="15.75" customHeight="1">
      <c r="A192" s="1">
        <v>61</v>
      </c>
      <c r="B192" s="1" t="s">
        <v>10</v>
      </c>
      <c r="C192" s="1">
        <v>31.57</v>
      </c>
      <c r="D192" s="1">
        <v>0</v>
      </c>
      <c r="E192" s="1" t="s">
        <v>11</v>
      </c>
      <c r="F192" s="1" t="s">
        <v>12</v>
      </c>
      <c r="G192" s="1">
        <v>12557.605299999999</v>
      </c>
      <c r="H192" t="str">
        <f t="shared" si="2"/>
        <v>60+</v>
      </c>
    </row>
    <row r="193" spans="1:8" ht="15.75" customHeight="1">
      <c r="A193" s="1">
        <v>36</v>
      </c>
      <c r="B193" s="1" t="s">
        <v>7</v>
      </c>
      <c r="C193" s="1">
        <v>26.2</v>
      </c>
      <c r="D193" s="1">
        <v>0</v>
      </c>
      <c r="E193" s="1" t="s">
        <v>11</v>
      </c>
      <c r="F193" s="1" t="s">
        <v>9</v>
      </c>
      <c r="G193" s="1">
        <v>4883.866</v>
      </c>
      <c r="H193" t="str">
        <f t="shared" si="2"/>
        <v>30-39</v>
      </c>
    </row>
    <row r="194" spans="1:8" ht="15.75" customHeight="1">
      <c r="A194" s="1">
        <v>25</v>
      </c>
      <c r="B194" s="1" t="s">
        <v>10</v>
      </c>
      <c r="C194" s="1">
        <v>25.74</v>
      </c>
      <c r="D194" s="1">
        <v>0</v>
      </c>
      <c r="E194" s="1" t="s">
        <v>11</v>
      </c>
      <c r="F194" s="1" t="s">
        <v>12</v>
      </c>
      <c r="G194" s="1">
        <v>2137.6536000000001</v>
      </c>
      <c r="H194" t="str">
        <f t="shared" si="2"/>
        <v>18-29</v>
      </c>
    </row>
    <row r="195" spans="1:8" ht="15.75" customHeight="1">
      <c r="A195" s="1">
        <v>56</v>
      </c>
      <c r="B195" s="1" t="s">
        <v>7</v>
      </c>
      <c r="C195" s="1">
        <v>26.6</v>
      </c>
      <c r="D195" s="1">
        <v>1</v>
      </c>
      <c r="E195" s="1" t="s">
        <v>11</v>
      </c>
      <c r="F195" s="1" t="s">
        <v>13</v>
      </c>
      <c r="G195" s="1">
        <v>12044.342000000001</v>
      </c>
      <c r="H195" t="str">
        <f t="shared" ref="H195:H258" si="3">IF(A195&lt;30,"18-29",IF(A195&lt;40,"30-39",IF(A195&lt;50,"40-49",IF(A195&lt;60,"50-59","60+"))))</f>
        <v>50-59</v>
      </c>
    </row>
    <row r="196" spans="1:8" ht="15.75" customHeight="1">
      <c r="A196" s="1">
        <v>18</v>
      </c>
      <c r="B196" s="1" t="s">
        <v>10</v>
      </c>
      <c r="C196" s="1">
        <v>34.43</v>
      </c>
      <c r="D196" s="1">
        <v>0</v>
      </c>
      <c r="E196" s="1" t="s">
        <v>11</v>
      </c>
      <c r="F196" s="1" t="s">
        <v>12</v>
      </c>
      <c r="G196" s="1">
        <v>1137.4697000000001</v>
      </c>
      <c r="H196" t="str">
        <f t="shared" si="3"/>
        <v>18-29</v>
      </c>
    </row>
    <row r="197" spans="1:8" ht="15.75" customHeight="1">
      <c r="A197" s="1">
        <v>19</v>
      </c>
      <c r="B197" s="1" t="s">
        <v>10</v>
      </c>
      <c r="C197" s="1">
        <v>30.59</v>
      </c>
      <c r="D197" s="1">
        <v>0</v>
      </c>
      <c r="E197" s="1" t="s">
        <v>11</v>
      </c>
      <c r="F197" s="1" t="s">
        <v>13</v>
      </c>
      <c r="G197" s="1">
        <v>1639.5631000000001</v>
      </c>
      <c r="H197" t="str">
        <f t="shared" si="3"/>
        <v>18-29</v>
      </c>
    </row>
    <row r="198" spans="1:8" ht="15.75" customHeight="1">
      <c r="A198" s="1">
        <v>39</v>
      </c>
      <c r="B198" s="1" t="s">
        <v>7</v>
      </c>
      <c r="C198" s="1">
        <v>32.799999999999997</v>
      </c>
      <c r="D198" s="1">
        <v>0</v>
      </c>
      <c r="E198" s="1" t="s">
        <v>11</v>
      </c>
      <c r="F198" s="1" t="s">
        <v>9</v>
      </c>
      <c r="G198" s="1">
        <v>5649.7150000000001</v>
      </c>
      <c r="H198" t="str">
        <f t="shared" si="3"/>
        <v>30-39</v>
      </c>
    </row>
    <row r="199" spans="1:8" ht="15.75" customHeight="1">
      <c r="A199" s="1">
        <v>45</v>
      </c>
      <c r="B199" s="1" t="s">
        <v>7</v>
      </c>
      <c r="C199" s="1">
        <v>28.6</v>
      </c>
      <c r="D199" s="1">
        <v>2</v>
      </c>
      <c r="E199" s="1" t="s">
        <v>11</v>
      </c>
      <c r="F199" s="1" t="s">
        <v>12</v>
      </c>
      <c r="G199" s="1">
        <v>8516.8289999999997</v>
      </c>
      <c r="H199" t="str">
        <f t="shared" si="3"/>
        <v>40-49</v>
      </c>
    </row>
    <row r="200" spans="1:8" ht="15.75" customHeight="1">
      <c r="A200" s="1">
        <v>51</v>
      </c>
      <c r="B200" s="1" t="s">
        <v>7</v>
      </c>
      <c r="C200" s="1">
        <v>18.05</v>
      </c>
      <c r="D200" s="1">
        <v>0</v>
      </c>
      <c r="E200" s="1" t="s">
        <v>11</v>
      </c>
      <c r="F200" s="1" t="s">
        <v>13</v>
      </c>
      <c r="G200" s="1">
        <v>9644.2525000000005</v>
      </c>
      <c r="H200" t="str">
        <f t="shared" si="3"/>
        <v>50-59</v>
      </c>
    </row>
    <row r="201" spans="1:8" ht="15.75" customHeight="1">
      <c r="A201" s="1">
        <v>64</v>
      </c>
      <c r="B201" s="1" t="s">
        <v>7</v>
      </c>
      <c r="C201" s="1">
        <v>39.33</v>
      </c>
      <c r="D201" s="1">
        <v>0</v>
      </c>
      <c r="E201" s="1" t="s">
        <v>11</v>
      </c>
      <c r="F201" s="1" t="s">
        <v>14</v>
      </c>
      <c r="G201" s="1">
        <v>14901.5167</v>
      </c>
      <c r="H201" t="str">
        <f t="shared" si="3"/>
        <v>60+</v>
      </c>
    </row>
    <row r="202" spans="1:8" ht="15.75" customHeight="1">
      <c r="A202" s="1">
        <v>19</v>
      </c>
      <c r="B202" s="1" t="s">
        <v>7</v>
      </c>
      <c r="C202" s="1">
        <v>32.11</v>
      </c>
      <c r="D202" s="1">
        <v>0</v>
      </c>
      <c r="E202" s="1" t="s">
        <v>11</v>
      </c>
      <c r="F202" s="1" t="s">
        <v>13</v>
      </c>
      <c r="G202" s="1">
        <v>2130.6759000000002</v>
      </c>
      <c r="H202" t="str">
        <f t="shared" si="3"/>
        <v>18-29</v>
      </c>
    </row>
    <row r="203" spans="1:8" ht="15.75" customHeight="1">
      <c r="A203" s="1">
        <v>48</v>
      </c>
      <c r="B203" s="1" t="s">
        <v>7</v>
      </c>
      <c r="C203" s="1">
        <v>32.229999999999997</v>
      </c>
      <c r="D203" s="1">
        <v>1</v>
      </c>
      <c r="E203" s="1" t="s">
        <v>11</v>
      </c>
      <c r="F203" s="1" t="s">
        <v>12</v>
      </c>
      <c r="G203" s="1">
        <v>8871.1517000000003</v>
      </c>
      <c r="H203" t="str">
        <f t="shared" si="3"/>
        <v>40-49</v>
      </c>
    </row>
    <row r="204" spans="1:8" ht="15.75" customHeight="1">
      <c r="A204" s="1">
        <v>60</v>
      </c>
      <c r="B204" s="1" t="s">
        <v>7</v>
      </c>
      <c r="C204" s="1">
        <v>24.035</v>
      </c>
      <c r="D204" s="1">
        <v>0</v>
      </c>
      <c r="E204" s="1" t="s">
        <v>11</v>
      </c>
      <c r="F204" s="1" t="s">
        <v>13</v>
      </c>
      <c r="G204" s="1">
        <v>13012.20865</v>
      </c>
      <c r="H204" t="str">
        <f t="shared" si="3"/>
        <v>60+</v>
      </c>
    </row>
    <row r="205" spans="1:8" ht="15.75" customHeight="1">
      <c r="A205" s="1">
        <v>27</v>
      </c>
      <c r="B205" s="1" t="s">
        <v>7</v>
      </c>
      <c r="C205" s="1">
        <v>36.08</v>
      </c>
      <c r="D205" s="1">
        <v>0</v>
      </c>
      <c r="E205" s="1" t="s">
        <v>8</v>
      </c>
      <c r="F205" s="1" t="s">
        <v>12</v>
      </c>
      <c r="G205" s="1">
        <v>37133.898200000003</v>
      </c>
      <c r="H205" t="str">
        <f t="shared" si="3"/>
        <v>18-29</v>
      </c>
    </row>
    <row r="206" spans="1:8" ht="15.75" customHeight="1">
      <c r="A206" s="1">
        <v>46</v>
      </c>
      <c r="B206" s="1" t="s">
        <v>10</v>
      </c>
      <c r="C206" s="1">
        <v>22.3</v>
      </c>
      <c r="D206" s="1">
        <v>0</v>
      </c>
      <c r="E206" s="1" t="s">
        <v>11</v>
      </c>
      <c r="F206" s="1" t="s">
        <v>9</v>
      </c>
      <c r="G206" s="1">
        <v>7147.1049999999996</v>
      </c>
      <c r="H206" t="str">
        <f t="shared" si="3"/>
        <v>40-49</v>
      </c>
    </row>
    <row r="207" spans="1:8" ht="15.75" customHeight="1">
      <c r="A207" s="1">
        <v>28</v>
      </c>
      <c r="B207" s="1" t="s">
        <v>7</v>
      </c>
      <c r="C207" s="1">
        <v>28.88</v>
      </c>
      <c r="D207" s="1">
        <v>1</v>
      </c>
      <c r="E207" s="1" t="s">
        <v>11</v>
      </c>
      <c r="F207" s="1" t="s">
        <v>14</v>
      </c>
      <c r="G207" s="1">
        <v>4337.7352000000001</v>
      </c>
      <c r="H207" t="str">
        <f t="shared" si="3"/>
        <v>18-29</v>
      </c>
    </row>
    <row r="208" spans="1:8" ht="15.75" customHeight="1">
      <c r="A208" s="1">
        <v>59</v>
      </c>
      <c r="B208" s="1" t="s">
        <v>10</v>
      </c>
      <c r="C208" s="1">
        <v>26.4</v>
      </c>
      <c r="D208" s="1">
        <v>0</v>
      </c>
      <c r="E208" s="1" t="s">
        <v>11</v>
      </c>
      <c r="F208" s="1" t="s">
        <v>12</v>
      </c>
      <c r="G208" s="1">
        <v>11743.299000000001</v>
      </c>
      <c r="H208" t="str">
        <f t="shared" si="3"/>
        <v>50-59</v>
      </c>
    </row>
    <row r="209" spans="1:8" ht="15.75" customHeight="1">
      <c r="A209" s="1">
        <v>35</v>
      </c>
      <c r="B209" s="1" t="s">
        <v>10</v>
      </c>
      <c r="C209" s="1">
        <v>27.74</v>
      </c>
      <c r="D209" s="1">
        <v>2</v>
      </c>
      <c r="E209" s="1" t="s">
        <v>8</v>
      </c>
      <c r="F209" s="1" t="s">
        <v>14</v>
      </c>
      <c r="G209" s="1">
        <v>20984.0936</v>
      </c>
      <c r="H209" t="str">
        <f t="shared" si="3"/>
        <v>30-39</v>
      </c>
    </row>
    <row r="210" spans="1:8" ht="15.75" customHeight="1">
      <c r="A210" s="1">
        <v>63</v>
      </c>
      <c r="B210" s="1" t="s">
        <v>7</v>
      </c>
      <c r="C210" s="1">
        <v>31.8</v>
      </c>
      <c r="D210" s="1">
        <v>0</v>
      </c>
      <c r="E210" s="1" t="s">
        <v>11</v>
      </c>
      <c r="F210" s="1" t="s">
        <v>9</v>
      </c>
      <c r="G210" s="1">
        <v>13880.949000000001</v>
      </c>
      <c r="H210" t="str">
        <f t="shared" si="3"/>
        <v>60+</v>
      </c>
    </row>
    <row r="211" spans="1:8" ht="15.75" customHeight="1">
      <c r="A211" s="1">
        <v>40</v>
      </c>
      <c r="B211" s="1" t="s">
        <v>10</v>
      </c>
      <c r="C211" s="1">
        <v>41.23</v>
      </c>
      <c r="D211" s="1">
        <v>1</v>
      </c>
      <c r="E211" s="1" t="s">
        <v>11</v>
      </c>
      <c r="F211" s="1" t="s">
        <v>14</v>
      </c>
      <c r="G211" s="1">
        <v>6610.1097</v>
      </c>
      <c r="H211" t="str">
        <f t="shared" si="3"/>
        <v>40-49</v>
      </c>
    </row>
    <row r="212" spans="1:8" ht="15.75" customHeight="1">
      <c r="A212" s="1">
        <v>20</v>
      </c>
      <c r="B212" s="1" t="s">
        <v>10</v>
      </c>
      <c r="C212" s="1">
        <v>33</v>
      </c>
      <c r="D212" s="1">
        <v>1</v>
      </c>
      <c r="E212" s="1" t="s">
        <v>11</v>
      </c>
      <c r="F212" s="1" t="s">
        <v>9</v>
      </c>
      <c r="G212" s="1">
        <v>1980.07</v>
      </c>
      <c r="H212" t="str">
        <f t="shared" si="3"/>
        <v>18-29</v>
      </c>
    </row>
    <row r="213" spans="1:8" ht="15.75" customHeight="1">
      <c r="A213" s="1">
        <v>40</v>
      </c>
      <c r="B213" s="1" t="s">
        <v>10</v>
      </c>
      <c r="C213" s="1">
        <v>30.875</v>
      </c>
      <c r="D213" s="1">
        <v>4</v>
      </c>
      <c r="E213" s="1" t="s">
        <v>11</v>
      </c>
      <c r="F213" s="1" t="s">
        <v>13</v>
      </c>
      <c r="G213" s="1">
        <v>8162.7162500000004</v>
      </c>
      <c r="H213" t="str">
        <f t="shared" si="3"/>
        <v>40-49</v>
      </c>
    </row>
    <row r="214" spans="1:8" ht="15.75" customHeight="1">
      <c r="A214" s="1">
        <v>24</v>
      </c>
      <c r="B214" s="1" t="s">
        <v>10</v>
      </c>
      <c r="C214" s="1">
        <v>28.5</v>
      </c>
      <c r="D214" s="1">
        <v>2</v>
      </c>
      <c r="E214" s="1" t="s">
        <v>11</v>
      </c>
      <c r="F214" s="1" t="s">
        <v>13</v>
      </c>
      <c r="G214" s="1">
        <v>3537.703</v>
      </c>
      <c r="H214" t="str">
        <f t="shared" si="3"/>
        <v>18-29</v>
      </c>
    </row>
    <row r="215" spans="1:8" ht="15.75" customHeight="1">
      <c r="A215" s="1">
        <v>34</v>
      </c>
      <c r="B215" s="1" t="s">
        <v>7</v>
      </c>
      <c r="C215" s="1">
        <v>26.73</v>
      </c>
      <c r="D215" s="1">
        <v>1</v>
      </c>
      <c r="E215" s="1" t="s">
        <v>11</v>
      </c>
      <c r="F215" s="1" t="s">
        <v>12</v>
      </c>
      <c r="G215" s="1">
        <v>5002.7826999999997</v>
      </c>
      <c r="H215" t="str">
        <f t="shared" si="3"/>
        <v>30-39</v>
      </c>
    </row>
    <row r="216" spans="1:8" ht="15.75" customHeight="1">
      <c r="A216" s="1">
        <v>45</v>
      </c>
      <c r="B216" s="1" t="s">
        <v>7</v>
      </c>
      <c r="C216" s="1">
        <v>30.9</v>
      </c>
      <c r="D216" s="1">
        <v>2</v>
      </c>
      <c r="E216" s="1" t="s">
        <v>11</v>
      </c>
      <c r="F216" s="1" t="s">
        <v>9</v>
      </c>
      <c r="G216" s="1">
        <v>8520.0259999999998</v>
      </c>
      <c r="H216" t="str">
        <f t="shared" si="3"/>
        <v>40-49</v>
      </c>
    </row>
    <row r="217" spans="1:8" ht="15.75" customHeight="1">
      <c r="A217" s="1">
        <v>41</v>
      </c>
      <c r="B217" s="1" t="s">
        <v>7</v>
      </c>
      <c r="C217" s="1">
        <v>37.1</v>
      </c>
      <c r="D217" s="1">
        <v>2</v>
      </c>
      <c r="E217" s="1" t="s">
        <v>11</v>
      </c>
      <c r="F217" s="1" t="s">
        <v>9</v>
      </c>
      <c r="G217" s="1">
        <v>7371.7719999999999</v>
      </c>
      <c r="H217" t="str">
        <f t="shared" si="3"/>
        <v>40-49</v>
      </c>
    </row>
    <row r="218" spans="1:8" ht="15.75" customHeight="1">
      <c r="A218" s="1">
        <v>53</v>
      </c>
      <c r="B218" s="1" t="s">
        <v>7</v>
      </c>
      <c r="C218" s="1">
        <v>26.6</v>
      </c>
      <c r="D218" s="1">
        <v>0</v>
      </c>
      <c r="E218" s="1" t="s">
        <v>11</v>
      </c>
      <c r="F218" s="1" t="s">
        <v>13</v>
      </c>
      <c r="G218" s="1">
        <v>10355.641</v>
      </c>
      <c r="H218" t="str">
        <f t="shared" si="3"/>
        <v>50-59</v>
      </c>
    </row>
    <row r="219" spans="1:8" ht="15.75" customHeight="1">
      <c r="A219" s="1">
        <v>27</v>
      </c>
      <c r="B219" s="1" t="s">
        <v>10</v>
      </c>
      <c r="C219" s="1">
        <v>23.1</v>
      </c>
      <c r="D219" s="1">
        <v>0</v>
      </c>
      <c r="E219" s="1" t="s">
        <v>11</v>
      </c>
      <c r="F219" s="1" t="s">
        <v>12</v>
      </c>
      <c r="G219" s="1">
        <v>2483.7359999999999</v>
      </c>
      <c r="H219" t="str">
        <f t="shared" si="3"/>
        <v>18-29</v>
      </c>
    </row>
    <row r="220" spans="1:8" ht="15.75" customHeight="1">
      <c r="A220" s="1">
        <v>26</v>
      </c>
      <c r="B220" s="1" t="s">
        <v>7</v>
      </c>
      <c r="C220" s="1">
        <v>29.92</v>
      </c>
      <c r="D220" s="1">
        <v>1</v>
      </c>
      <c r="E220" s="1" t="s">
        <v>11</v>
      </c>
      <c r="F220" s="1" t="s">
        <v>12</v>
      </c>
      <c r="G220" s="1">
        <v>3392.9767999999999</v>
      </c>
      <c r="H220" t="str">
        <f t="shared" si="3"/>
        <v>18-29</v>
      </c>
    </row>
    <row r="221" spans="1:8" ht="15.75" customHeight="1">
      <c r="A221" s="1">
        <v>24</v>
      </c>
      <c r="B221" s="1" t="s">
        <v>7</v>
      </c>
      <c r="C221" s="1">
        <v>23.21</v>
      </c>
      <c r="D221" s="1">
        <v>0</v>
      </c>
      <c r="E221" s="1" t="s">
        <v>11</v>
      </c>
      <c r="F221" s="1" t="s">
        <v>12</v>
      </c>
      <c r="G221" s="1">
        <v>25081.76784</v>
      </c>
      <c r="H221" t="str">
        <f t="shared" si="3"/>
        <v>18-29</v>
      </c>
    </row>
    <row r="222" spans="1:8" ht="15.75" customHeight="1">
      <c r="A222" s="1">
        <v>34</v>
      </c>
      <c r="B222" s="1" t="s">
        <v>7</v>
      </c>
      <c r="C222" s="1">
        <v>33.700000000000003</v>
      </c>
      <c r="D222" s="1">
        <v>1</v>
      </c>
      <c r="E222" s="1" t="s">
        <v>11</v>
      </c>
      <c r="F222" s="1" t="s">
        <v>9</v>
      </c>
      <c r="G222" s="1">
        <v>5012.4709999999995</v>
      </c>
      <c r="H222" t="str">
        <f t="shared" si="3"/>
        <v>30-39</v>
      </c>
    </row>
    <row r="223" spans="1:8" ht="15.75" customHeight="1">
      <c r="A223" s="1">
        <v>53</v>
      </c>
      <c r="B223" s="1" t="s">
        <v>7</v>
      </c>
      <c r="C223" s="1">
        <v>33.25</v>
      </c>
      <c r="D223" s="1">
        <v>0</v>
      </c>
      <c r="E223" s="1" t="s">
        <v>11</v>
      </c>
      <c r="F223" s="1" t="s">
        <v>14</v>
      </c>
      <c r="G223" s="1">
        <v>10564.8845</v>
      </c>
      <c r="H223" t="str">
        <f t="shared" si="3"/>
        <v>50-59</v>
      </c>
    </row>
    <row r="224" spans="1:8" ht="15.75" customHeight="1">
      <c r="A224" s="1">
        <v>32</v>
      </c>
      <c r="B224" s="1" t="s">
        <v>10</v>
      </c>
      <c r="C224" s="1">
        <v>30.8</v>
      </c>
      <c r="D224" s="1">
        <v>3</v>
      </c>
      <c r="E224" s="1" t="s">
        <v>11</v>
      </c>
      <c r="F224" s="1" t="s">
        <v>9</v>
      </c>
      <c r="G224" s="1">
        <v>5253.5240000000003</v>
      </c>
      <c r="H224" t="str">
        <f t="shared" si="3"/>
        <v>30-39</v>
      </c>
    </row>
    <row r="225" spans="1:8" ht="15.75" customHeight="1">
      <c r="A225" s="1">
        <v>19</v>
      </c>
      <c r="B225" s="1" t="s">
        <v>10</v>
      </c>
      <c r="C225" s="1">
        <v>34.799999999999997</v>
      </c>
      <c r="D225" s="1">
        <v>0</v>
      </c>
      <c r="E225" s="1" t="s">
        <v>8</v>
      </c>
      <c r="F225" s="1" t="s">
        <v>9</v>
      </c>
      <c r="G225" s="1">
        <v>34779.614999999998</v>
      </c>
      <c r="H225" t="str">
        <f t="shared" si="3"/>
        <v>18-29</v>
      </c>
    </row>
    <row r="226" spans="1:8" ht="15.75" customHeight="1">
      <c r="A226" s="1">
        <v>42</v>
      </c>
      <c r="B226" s="1" t="s">
        <v>10</v>
      </c>
      <c r="C226" s="1">
        <v>24.64</v>
      </c>
      <c r="D226" s="1">
        <v>0</v>
      </c>
      <c r="E226" s="1" t="s">
        <v>8</v>
      </c>
      <c r="F226" s="1" t="s">
        <v>12</v>
      </c>
      <c r="G226" s="1">
        <v>19515.5416</v>
      </c>
      <c r="H226" t="str">
        <f t="shared" si="3"/>
        <v>40-49</v>
      </c>
    </row>
    <row r="227" spans="1:8" ht="15.75" customHeight="1">
      <c r="A227" s="1">
        <v>55</v>
      </c>
      <c r="B227" s="1" t="s">
        <v>10</v>
      </c>
      <c r="C227" s="1">
        <v>33.880000000000003</v>
      </c>
      <c r="D227" s="1">
        <v>3</v>
      </c>
      <c r="E227" s="1" t="s">
        <v>11</v>
      </c>
      <c r="F227" s="1" t="s">
        <v>12</v>
      </c>
      <c r="G227" s="1">
        <v>11987.1682</v>
      </c>
      <c r="H227" t="str">
        <f t="shared" si="3"/>
        <v>50-59</v>
      </c>
    </row>
    <row r="228" spans="1:8" ht="15.75" customHeight="1">
      <c r="A228" s="1">
        <v>28</v>
      </c>
      <c r="B228" s="1" t="s">
        <v>10</v>
      </c>
      <c r="C228" s="1">
        <v>38.06</v>
      </c>
      <c r="D228" s="1">
        <v>0</v>
      </c>
      <c r="E228" s="1" t="s">
        <v>11</v>
      </c>
      <c r="F228" s="1" t="s">
        <v>12</v>
      </c>
      <c r="G228" s="1">
        <v>2689.4953999999998</v>
      </c>
      <c r="H228" t="str">
        <f t="shared" si="3"/>
        <v>18-29</v>
      </c>
    </row>
    <row r="229" spans="1:8" ht="15.75" customHeight="1">
      <c r="A229" s="1">
        <v>58</v>
      </c>
      <c r="B229" s="1" t="s">
        <v>7</v>
      </c>
      <c r="C229" s="1">
        <v>41.91</v>
      </c>
      <c r="D229" s="1">
        <v>0</v>
      </c>
      <c r="E229" s="1" t="s">
        <v>11</v>
      </c>
      <c r="F229" s="1" t="s">
        <v>12</v>
      </c>
      <c r="G229" s="1">
        <v>24227.337240000001</v>
      </c>
      <c r="H229" t="str">
        <f t="shared" si="3"/>
        <v>50-59</v>
      </c>
    </row>
    <row r="230" spans="1:8" ht="15.75" customHeight="1">
      <c r="A230" s="1">
        <v>41</v>
      </c>
      <c r="B230" s="1" t="s">
        <v>7</v>
      </c>
      <c r="C230" s="1">
        <v>31.635000000000002</v>
      </c>
      <c r="D230" s="1">
        <v>1</v>
      </c>
      <c r="E230" s="1" t="s">
        <v>11</v>
      </c>
      <c r="F230" s="1" t="s">
        <v>14</v>
      </c>
      <c r="G230" s="1">
        <v>7358.1756500000001</v>
      </c>
      <c r="H230" t="str">
        <f t="shared" si="3"/>
        <v>40-49</v>
      </c>
    </row>
    <row r="231" spans="1:8" ht="15.75" customHeight="1">
      <c r="A231" s="1">
        <v>47</v>
      </c>
      <c r="B231" s="1" t="s">
        <v>10</v>
      </c>
      <c r="C231" s="1">
        <v>25.46</v>
      </c>
      <c r="D231" s="1">
        <v>2</v>
      </c>
      <c r="E231" s="1" t="s">
        <v>11</v>
      </c>
      <c r="F231" s="1" t="s">
        <v>14</v>
      </c>
      <c r="G231" s="1">
        <v>9225.2564000000002</v>
      </c>
      <c r="H231" t="str">
        <f t="shared" si="3"/>
        <v>40-49</v>
      </c>
    </row>
    <row r="232" spans="1:8" ht="15.75" customHeight="1">
      <c r="A232" s="1">
        <v>42</v>
      </c>
      <c r="B232" s="1" t="s">
        <v>7</v>
      </c>
      <c r="C232" s="1">
        <v>36.195</v>
      </c>
      <c r="D232" s="1">
        <v>1</v>
      </c>
      <c r="E232" s="1" t="s">
        <v>11</v>
      </c>
      <c r="F232" s="1" t="s">
        <v>13</v>
      </c>
      <c r="G232" s="1">
        <v>7443.6430499999997</v>
      </c>
      <c r="H232" t="str">
        <f t="shared" si="3"/>
        <v>40-49</v>
      </c>
    </row>
    <row r="233" spans="1:8" ht="15.75" customHeight="1">
      <c r="A233" s="1">
        <v>59</v>
      </c>
      <c r="B233" s="1" t="s">
        <v>7</v>
      </c>
      <c r="C233" s="1">
        <v>27.83</v>
      </c>
      <c r="D233" s="1">
        <v>3</v>
      </c>
      <c r="E233" s="1" t="s">
        <v>11</v>
      </c>
      <c r="F233" s="1" t="s">
        <v>12</v>
      </c>
      <c r="G233" s="1">
        <v>14001.286700000001</v>
      </c>
      <c r="H233" t="str">
        <f t="shared" si="3"/>
        <v>50-59</v>
      </c>
    </row>
    <row r="234" spans="1:8" ht="15.75" customHeight="1">
      <c r="A234" s="1">
        <v>19</v>
      </c>
      <c r="B234" s="1" t="s">
        <v>7</v>
      </c>
      <c r="C234" s="1">
        <v>17.8</v>
      </c>
      <c r="D234" s="1">
        <v>0</v>
      </c>
      <c r="E234" s="1" t="s">
        <v>11</v>
      </c>
      <c r="F234" s="1" t="s">
        <v>9</v>
      </c>
      <c r="G234" s="1">
        <v>1727.7850000000001</v>
      </c>
      <c r="H234" t="str">
        <f t="shared" si="3"/>
        <v>18-29</v>
      </c>
    </row>
    <row r="235" spans="1:8" ht="15.75" customHeight="1">
      <c r="A235" s="1">
        <v>59</v>
      </c>
      <c r="B235" s="1" t="s">
        <v>10</v>
      </c>
      <c r="C235" s="1">
        <v>27.5</v>
      </c>
      <c r="D235" s="1">
        <v>1</v>
      </c>
      <c r="E235" s="1" t="s">
        <v>11</v>
      </c>
      <c r="F235" s="1" t="s">
        <v>9</v>
      </c>
      <c r="G235" s="1">
        <v>12333.828</v>
      </c>
      <c r="H235" t="str">
        <f t="shared" si="3"/>
        <v>50-59</v>
      </c>
    </row>
    <row r="236" spans="1:8" ht="15.75" customHeight="1">
      <c r="A236" s="1">
        <v>39</v>
      </c>
      <c r="B236" s="1" t="s">
        <v>10</v>
      </c>
      <c r="C236" s="1">
        <v>24.51</v>
      </c>
      <c r="D236" s="1">
        <v>2</v>
      </c>
      <c r="E236" s="1" t="s">
        <v>11</v>
      </c>
      <c r="F236" s="1" t="s">
        <v>13</v>
      </c>
      <c r="G236" s="1">
        <v>6710.1918999999998</v>
      </c>
      <c r="H236" t="str">
        <f t="shared" si="3"/>
        <v>30-39</v>
      </c>
    </row>
    <row r="237" spans="1:8" ht="15.75" customHeight="1">
      <c r="A237" s="1">
        <v>40</v>
      </c>
      <c r="B237" s="1" t="s">
        <v>7</v>
      </c>
      <c r="C237" s="1">
        <v>22.22</v>
      </c>
      <c r="D237" s="1">
        <v>2</v>
      </c>
      <c r="E237" s="1" t="s">
        <v>8</v>
      </c>
      <c r="F237" s="1" t="s">
        <v>12</v>
      </c>
      <c r="G237" s="1">
        <v>19444.265800000001</v>
      </c>
      <c r="H237" t="str">
        <f t="shared" si="3"/>
        <v>40-49</v>
      </c>
    </row>
    <row r="238" spans="1:8" ht="15.75" customHeight="1">
      <c r="A238" s="1">
        <v>18</v>
      </c>
      <c r="B238" s="1" t="s">
        <v>7</v>
      </c>
      <c r="C238" s="1">
        <v>26.73</v>
      </c>
      <c r="D238" s="1">
        <v>0</v>
      </c>
      <c r="E238" s="1" t="s">
        <v>11</v>
      </c>
      <c r="F238" s="1" t="s">
        <v>12</v>
      </c>
      <c r="G238" s="1">
        <v>1615.7666999999999</v>
      </c>
      <c r="H238" t="str">
        <f t="shared" si="3"/>
        <v>18-29</v>
      </c>
    </row>
    <row r="239" spans="1:8" ht="15.75" customHeight="1">
      <c r="A239" s="1">
        <v>31</v>
      </c>
      <c r="B239" s="1" t="s">
        <v>10</v>
      </c>
      <c r="C239" s="1">
        <v>38.39</v>
      </c>
      <c r="D239" s="1">
        <v>2</v>
      </c>
      <c r="E239" s="1" t="s">
        <v>11</v>
      </c>
      <c r="F239" s="1" t="s">
        <v>12</v>
      </c>
      <c r="G239" s="1">
        <v>4463.2051000000001</v>
      </c>
      <c r="H239" t="str">
        <f t="shared" si="3"/>
        <v>30-39</v>
      </c>
    </row>
    <row r="240" spans="1:8" ht="15.75" customHeight="1">
      <c r="A240" s="1">
        <v>19</v>
      </c>
      <c r="B240" s="1" t="s">
        <v>10</v>
      </c>
      <c r="C240" s="1">
        <v>29.07</v>
      </c>
      <c r="D240" s="1">
        <v>0</v>
      </c>
      <c r="E240" s="1" t="s">
        <v>8</v>
      </c>
      <c r="F240" s="1" t="s">
        <v>13</v>
      </c>
      <c r="G240" s="1">
        <v>17352.6803</v>
      </c>
      <c r="H240" t="str">
        <f t="shared" si="3"/>
        <v>18-29</v>
      </c>
    </row>
    <row r="241" spans="1:8" ht="15.75" customHeight="1">
      <c r="A241" s="1">
        <v>44</v>
      </c>
      <c r="B241" s="1" t="s">
        <v>10</v>
      </c>
      <c r="C241" s="1">
        <v>38.06</v>
      </c>
      <c r="D241" s="1">
        <v>1</v>
      </c>
      <c r="E241" s="1" t="s">
        <v>11</v>
      </c>
      <c r="F241" s="1" t="s">
        <v>12</v>
      </c>
      <c r="G241" s="1">
        <v>7152.6714000000002</v>
      </c>
      <c r="H241" t="str">
        <f t="shared" si="3"/>
        <v>40-49</v>
      </c>
    </row>
    <row r="242" spans="1:8" ht="15.75" customHeight="1">
      <c r="A242" s="1">
        <v>23</v>
      </c>
      <c r="B242" s="1" t="s">
        <v>7</v>
      </c>
      <c r="C242" s="1">
        <v>36.67</v>
      </c>
      <c r="D242" s="1">
        <v>2</v>
      </c>
      <c r="E242" s="1" t="s">
        <v>8</v>
      </c>
      <c r="F242" s="1" t="s">
        <v>14</v>
      </c>
      <c r="G242" s="1">
        <v>38511.628299999997</v>
      </c>
      <c r="H242" t="str">
        <f t="shared" si="3"/>
        <v>18-29</v>
      </c>
    </row>
    <row r="243" spans="1:8" ht="15.75" customHeight="1">
      <c r="A243" s="1">
        <v>33</v>
      </c>
      <c r="B243" s="1" t="s">
        <v>7</v>
      </c>
      <c r="C243" s="1">
        <v>22.135000000000002</v>
      </c>
      <c r="D243" s="1">
        <v>1</v>
      </c>
      <c r="E243" s="1" t="s">
        <v>11</v>
      </c>
      <c r="F243" s="1" t="s">
        <v>14</v>
      </c>
      <c r="G243" s="1">
        <v>5354.0746499999996</v>
      </c>
      <c r="H243" t="str">
        <f t="shared" si="3"/>
        <v>30-39</v>
      </c>
    </row>
    <row r="244" spans="1:8" ht="15.75" customHeight="1">
      <c r="A244" s="1">
        <v>55</v>
      </c>
      <c r="B244" s="1" t="s">
        <v>7</v>
      </c>
      <c r="C244" s="1">
        <v>26.8</v>
      </c>
      <c r="D244" s="1">
        <v>1</v>
      </c>
      <c r="E244" s="1" t="s">
        <v>11</v>
      </c>
      <c r="F244" s="1" t="s">
        <v>9</v>
      </c>
      <c r="G244" s="1">
        <v>35160.134570000002</v>
      </c>
      <c r="H244" t="str">
        <f t="shared" si="3"/>
        <v>50-59</v>
      </c>
    </row>
    <row r="245" spans="1:8" ht="15.75" customHeight="1">
      <c r="A245" s="1">
        <v>40</v>
      </c>
      <c r="B245" s="1" t="s">
        <v>10</v>
      </c>
      <c r="C245" s="1">
        <v>35.299999999999997</v>
      </c>
      <c r="D245" s="1">
        <v>3</v>
      </c>
      <c r="E245" s="1" t="s">
        <v>11</v>
      </c>
      <c r="F245" s="1" t="s">
        <v>9</v>
      </c>
      <c r="G245" s="1">
        <v>7196.8670000000002</v>
      </c>
      <c r="H245" t="str">
        <f t="shared" si="3"/>
        <v>40-49</v>
      </c>
    </row>
    <row r="246" spans="1:8" ht="15.75" customHeight="1">
      <c r="A246" s="1">
        <v>63</v>
      </c>
      <c r="B246" s="1" t="s">
        <v>7</v>
      </c>
      <c r="C246" s="1">
        <v>27.74</v>
      </c>
      <c r="D246" s="1">
        <v>0</v>
      </c>
      <c r="E246" s="1" t="s">
        <v>8</v>
      </c>
      <c r="F246" s="1" t="s">
        <v>14</v>
      </c>
      <c r="G246" s="1">
        <v>29523.1656</v>
      </c>
      <c r="H246" t="str">
        <f t="shared" si="3"/>
        <v>60+</v>
      </c>
    </row>
    <row r="247" spans="1:8" ht="15.75" customHeight="1">
      <c r="A247" s="1">
        <v>54</v>
      </c>
      <c r="B247" s="1" t="s">
        <v>10</v>
      </c>
      <c r="C247" s="1">
        <v>30.02</v>
      </c>
      <c r="D247" s="1">
        <v>0</v>
      </c>
      <c r="E247" s="1" t="s">
        <v>11</v>
      </c>
      <c r="F247" s="1" t="s">
        <v>13</v>
      </c>
      <c r="G247" s="1">
        <v>24476.478510000001</v>
      </c>
      <c r="H247" t="str">
        <f t="shared" si="3"/>
        <v>50-59</v>
      </c>
    </row>
    <row r="248" spans="1:8" ht="15.75" customHeight="1">
      <c r="A248" s="1">
        <v>60</v>
      </c>
      <c r="B248" s="1" t="s">
        <v>7</v>
      </c>
      <c r="C248" s="1">
        <v>38.06</v>
      </c>
      <c r="D248" s="1">
        <v>0</v>
      </c>
      <c r="E248" s="1" t="s">
        <v>11</v>
      </c>
      <c r="F248" s="1" t="s">
        <v>12</v>
      </c>
      <c r="G248" s="1">
        <v>12648.7034</v>
      </c>
      <c r="H248" t="str">
        <f t="shared" si="3"/>
        <v>60+</v>
      </c>
    </row>
    <row r="249" spans="1:8" ht="15.75" customHeight="1">
      <c r="A249" s="1">
        <v>24</v>
      </c>
      <c r="B249" s="1" t="s">
        <v>10</v>
      </c>
      <c r="C249" s="1">
        <v>35.86</v>
      </c>
      <c r="D249" s="1">
        <v>0</v>
      </c>
      <c r="E249" s="1" t="s">
        <v>11</v>
      </c>
      <c r="F249" s="1" t="s">
        <v>12</v>
      </c>
      <c r="G249" s="1">
        <v>1986.9333999999999</v>
      </c>
      <c r="H249" t="str">
        <f t="shared" si="3"/>
        <v>18-29</v>
      </c>
    </row>
    <row r="250" spans="1:8" ht="15.75" customHeight="1">
      <c r="A250" s="1">
        <v>19</v>
      </c>
      <c r="B250" s="1" t="s">
        <v>10</v>
      </c>
      <c r="C250" s="1">
        <v>20.9</v>
      </c>
      <c r="D250" s="1">
        <v>1</v>
      </c>
      <c r="E250" s="1" t="s">
        <v>11</v>
      </c>
      <c r="F250" s="1" t="s">
        <v>9</v>
      </c>
      <c r="G250" s="1">
        <v>1832.0940000000001</v>
      </c>
      <c r="H250" t="str">
        <f t="shared" si="3"/>
        <v>18-29</v>
      </c>
    </row>
    <row r="251" spans="1:8" ht="15.75" customHeight="1">
      <c r="A251" s="1">
        <v>29</v>
      </c>
      <c r="B251" s="1" t="s">
        <v>10</v>
      </c>
      <c r="C251" s="1">
        <v>28.975000000000001</v>
      </c>
      <c r="D251" s="1">
        <v>1</v>
      </c>
      <c r="E251" s="1" t="s">
        <v>11</v>
      </c>
      <c r="F251" s="1" t="s">
        <v>14</v>
      </c>
      <c r="G251" s="1">
        <v>4040.55825</v>
      </c>
      <c r="H251" t="str">
        <f t="shared" si="3"/>
        <v>18-29</v>
      </c>
    </row>
    <row r="252" spans="1:8" ht="15.75" customHeight="1">
      <c r="A252" s="1">
        <v>18</v>
      </c>
      <c r="B252" s="1" t="s">
        <v>10</v>
      </c>
      <c r="C252" s="1">
        <v>17.29</v>
      </c>
      <c r="D252" s="1">
        <v>2</v>
      </c>
      <c r="E252" s="1" t="s">
        <v>8</v>
      </c>
      <c r="F252" s="1" t="s">
        <v>14</v>
      </c>
      <c r="G252" s="1">
        <v>12829.455099999999</v>
      </c>
      <c r="H252" t="str">
        <f t="shared" si="3"/>
        <v>18-29</v>
      </c>
    </row>
    <row r="253" spans="1:8" ht="15.75" customHeight="1">
      <c r="A253" s="1">
        <v>63</v>
      </c>
      <c r="B253" s="1" t="s">
        <v>7</v>
      </c>
      <c r="C253" s="1">
        <v>32.200000000000003</v>
      </c>
      <c r="D253" s="1">
        <v>2</v>
      </c>
      <c r="E253" s="1" t="s">
        <v>8</v>
      </c>
      <c r="F253" s="1" t="s">
        <v>9</v>
      </c>
      <c r="G253" s="1">
        <v>47305.305</v>
      </c>
      <c r="H253" t="str">
        <f t="shared" si="3"/>
        <v>60+</v>
      </c>
    </row>
    <row r="254" spans="1:8" ht="15.75" customHeight="1">
      <c r="A254" s="1">
        <v>54</v>
      </c>
      <c r="B254" s="1" t="s">
        <v>10</v>
      </c>
      <c r="C254" s="1">
        <v>34.21</v>
      </c>
      <c r="D254" s="1">
        <v>2</v>
      </c>
      <c r="E254" s="1" t="s">
        <v>8</v>
      </c>
      <c r="F254" s="1" t="s">
        <v>12</v>
      </c>
      <c r="G254" s="1">
        <v>44260.749900000003</v>
      </c>
      <c r="H254" t="str">
        <f t="shared" si="3"/>
        <v>50-59</v>
      </c>
    </row>
    <row r="255" spans="1:8" ht="15.75" customHeight="1">
      <c r="A255" s="1">
        <v>27</v>
      </c>
      <c r="B255" s="1" t="s">
        <v>10</v>
      </c>
      <c r="C255" s="1">
        <v>30.3</v>
      </c>
      <c r="D255" s="1">
        <v>3</v>
      </c>
      <c r="E255" s="1" t="s">
        <v>11</v>
      </c>
      <c r="F255" s="1" t="s">
        <v>9</v>
      </c>
      <c r="G255" s="1">
        <v>4260.7439999999997</v>
      </c>
      <c r="H255" t="str">
        <f t="shared" si="3"/>
        <v>18-29</v>
      </c>
    </row>
    <row r="256" spans="1:8" ht="15.75" customHeight="1">
      <c r="A256" s="1">
        <v>50</v>
      </c>
      <c r="B256" s="1" t="s">
        <v>10</v>
      </c>
      <c r="C256" s="1">
        <v>31.824999999999999</v>
      </c>
      <c r="D256" s="1">
        <v>0</v>
      </c>
      <c r="E256" s="1" t="s">
        <v>8</v>
      </c>
      <c r="F256" s="1" t="s">
        <v>14</v>
      </c>
      <c r="G256" s="1">
        <v>41097.161749999999</v>
      </c>
      <c r="H256" t="str">
        <f t="shared" si="3"/>
        <v>50-59</v>
      </c>
    </row>
    <row r="257" spans="1:8" ht="15.75" customHeight="1">
      <c r="A257" s="1">
        <v>55</v>
      </c>
      <c r="B257" s="1" t="s">
        <v>7</v>
      </c>
      <c r="C257" s="1">
        <v>25.364999999999998</v>
      </c>
      <c r="D257" s="1">
        <v>3</v>
      </c>
      <c r="E257" s="1" t="s">
        <v>11</v>
      </c>
      <c r="F257" s="1" t="s">
        <v>14</v>
      </c>
      <c r="G257" s="1">
        <v>13047.332350000001</v>
      </c>
      <c r="H257" t="str">
        <f t="shared" si="3"/>
        <v>50-59</v>
      </c>
    </row>
    <row r="258" spans="1:8" ht="15.75" customHeight="1">
      <c r="A258" s="1">
        <v>56</v>
      </c>
      <c r="B258" s="1" t="s">
        <v>10</v>
      </c>
      <c r="C258" s="1">
        <v>33.630000000000003</v>
      </c>
      <c r="D258" s="1">
        <v>0</v>
      </c>
      <c r="E258" s="1" t="s">
        <v>8</v>
      </c>
      <c r="F258" s="1" t="s">
        <v>13</v>
      </c>
      <c r="G258" s="1">
        <v>43921.183700000001</v>
      </c>
      <c r="H258" t="str">
        <f t="shared" si="3"/>
        <v>50-59</v>
      </c>
    </row>
    <row r="259" spans="1:8" ht="15.75" customHeight="1">
      <c r="A259" s="1">
        <v>38</v>
      </c>
      <c r="B259" s="1" t="s">
        <v>7</v>
      </c>
      <c r="C259" s="1">
        <v>40.15</v>
      </c>
      <c r="D259" s="1">
        <v>0</v>
      </c>
      <c r="E259" s="1" t="s">
        <v>11</v>
      </c>
      <c r="F259" s="1" t="s">
        <v>12</v>
      </c>
      <c r="G259" s="1">
        <v>5400.9804999999997</v>
      </c>
      <c r="H259" t="str">
        <f t="shared" ref="H259:H322" si="4">IF(A259&lt;30,"18-29",IF(A259&lt;40,"30-39",IF(A259&lt;50,"40-49",IF(A259&lt;60,"50-59","60+"))))</f>
        <v>30-39</v>
      </c>
    </row>
    <row r="260" spans="1:8" ht="15.75" customHeight="1">
      <c r="A260" s="1">
        <v>51</v>
      </c>
      <c r="B260" s="1" t="s">
        <v>10</v>
      </c>
      <c r="C260" s="1">
        <v>24.414999999999999</v>
      </c>
      <c r="D260" s="1">
        <v>4</v>
      </c>
      <c r="E260" s="1" t="s">
        <v>11</v>
      </c>
      <c r="F260" s="1" t="s">
        <v>13</v>
      </c>
      <c r="G260" s="1">
        <v>11520.099850000001</v>
      </c>
      <c r="H260" t="str">
        <f t="shared" si="4"/>
        <v>50-59</v>
      </c>
    </row>
    <row r="261" spans="1:8" ht="15.75" customHeight="1">
      <c r="A261" s="1">
        <v>19</v>
      </c>
      <c r="B261" s="1" t="s">
        <v>10</v>
      </c>
      <c r="C261" s="1">
        <v>31.92</v>
      </c>
      <c r="D261" s="1">
        <v>0</v>
      </c>
      <c r="E261" s="1" t="s">
        <v>8</v>
      </c>
      <c r="F261" s="1" t="s">
        <v>13</v>
      </c>
      <c r="G261" s="1">
        <v>33750.291799999999</v>
      </c>
      <c r="H261" t="str">
        <f t="shared" si="4"/>
        <v>18-29</v>
      </c>
    </row>
    <row r="262" spans="1:8" ht="15.75" customHeight="1">
      <c r="A262" s="1">
        <v>58</v>
      </c>
      <c r="B262" s="1" t="s">
        <v>7</v>
      </c>
      <c r="C262" s="1">
        <v>25.2</v>
      </c>
      <c r="D262" s="1">
        <v>0</v>
      </c>
      <c r="E262" s="1" t="s">
        <v>11</v>
      </c>
      <c r="F262" s="1" t="s">
        <v>9</v>
      </c>
      <c r="G262" s="1">
        <v>11837.16</v>
      </c>
      <c r="H262" t="str">
        <f t="shared" si="4"/>
        <v>50-59</v>
      </c>
    </row>
    <row r="263" spans="1:8" ht="15.75" customHeight="1">
      <c r="A263" s="1">
        <v>20</v>
      </c>
      <c r="B263" s="1" t="s">
        <v>7</v>
      </c>
      <c r="C263" s="1">
        <v>26.84</v>
      </c>
      <c r="D263" s="1">
        <v>1</v>
      </c>
      <c r="E263" s="1" t="s">
        <v>8</v>
      </c>
      <c r="F263" s="1" t="s">
        <v>12</v>
      </c>
      <c r="G263" s="1">
        <v>17085.267599999999</v>
      </c>
      <c r="H263" t="str">
        <f t="shared" si="4"/>
        <v>18-29</v>
      </c>
    </row>
    <row r="264" spans="1:8" ht="15.75" customHeight="1">
      <c r="A264" s="1">
        <v>52</v>
      </c>
      <c r="B264" s="1" t="s">
        <v>10</v>
      </c>
      <c r="C264" s="1">
        <v>24.32</v>
      </c>
      <c r="D264" s="1">
        <v>3</v>
      </c>
      <c r="E264" s="1" t="s">
        <v>8</v>
      </c>
      <c r="F264" s="1" t="s">
        <v>14</v>
      </c>
      <c r="G264" s="1">
        <v>24869.836800000001</v>
      </c>
      <c r="H264" t="str">
        <f t="shared" si="4"/>
        <v>50-59</v>
      </c>
    </row>
    <row r="265" spans="1:8" ht="15.75" customHeight="1">
      <c r="A265" s="1">
        <v>19</v>
      </c>
      <c r="B265" s="1" t="s">
        <v>10</v>
      </c>
      <c r="C265" s="1">
        <v>36.954999999999998</v>
      </c>
      <c r="D265" s="1">
        <v>0</v>
      </c>
      <c r="E265" s="1" t="s">
        <v>8</v>
      </c>
      <c r="F265" s="1" t="s">
        <v>13</v>
      </c>
      <c r="G265" s="1">
        <v>36219.405449999998</v>
      </c>
      <c r="H265" t="str">
        <f t="shared" si="4"/>
        <v>18-29</v>
      </c>
    </row>
    <row r="266" spans="1:8" ht="15.75" customHeight="1">
      <c r="A266" s="1">
        <v>53</v>
      </c>
      <c r="B266" s="1" t="s">
        <v>7</v>
      </c>
      <c r="C266" s="1">
        <v>38.06</v>
      </c>
      <c r="D266" s="1">
        <v>3</v>
      </c>
      <c r="E266" s="1" t="s">
        <v>11</v>
      </c>
      <c r="F266" s="1" t="s">
        <v>12</v>
      </c>
      <c r="G266" s="1">
        <v>20462.997660000001</v>
      </c>
      <c r="H266" t="str">
        <f t="shared" si="4"/>
        <v>50-59</v>
      </c>
    </row>
    <row r="267" spans="1:8" ht="15.75" customHeight="1">
      <c r="A267" s="1">
        <v>46</v>
      </c>
      <c r="B267" s="1" t="s">
        <v>10</v>
      </c>
      <c r="C267" s="1">
        <v>42.35</v>
      </c>
      <c r="D267" s="1">
        <v>3</v>
      </c>
      <c r="E267" s="1" t="s">
        <v>8</v>
      </c>
      <c r="F267" s="1" t="s">
        <v>12</v>
      </c>
      <c r="G267" s="1">
        <v>46151.124499999998</v>
      </c>
      <c r="H267" t="str">
        <f t="shared" si="4"/>
        <v>40-49</v>
      </c>
    </row>
    <row r="268" spans="1:8" ht="15.75" customHeight="1">
      <c r="A268" s="1">
        <v>40</v>
      </c>
      <c r="B268" s="1" t="s">
        <v>10</v>
      </c>
      <c r="C268" s="1">
        <v>19.8</v>
      </c>
      <c r="D268" s="1">
        <v>1</v>
      </c>
      <c r="E268" s="1" t="s">
        <v>8</v>
      </c>
      <c r="F268" s="1" t="s">
        <v>12</v>
      </c>
      <c r="G268" s="1">
        <v>17179.522000000001</v>
      </c>
      <c r="H268" t="str">
        <f t="shared" si="4"/>
        <v>40-49</v>
      </c>
    </row>
    <row r="269" spans="1:8" ht="15.75" customHeight="1">
      <c r="A269" s="1">
        <v>59</v>
      </c>
      <c r="B269" s="1" t="s">
        <v>7</v>
      </c>
      <c r="C269" s="1">
        <v>32.395000000000003</v>
      </c>
      <c r="D269" s="1">
        <v>3</v>
      </c>
      <c r="E269" s="1" t="s">
        <v>11</v>
      </c>
      <c r="F269" s="1" t="s">
        <v>14</v>
      </c>
      <c r="G269" s="1">
        <v>14590.63205</v>
      </c>
      <c r="H269" t="str">
        <f t="shared" si="4"/>
        <v>50-59</v>
      </c>
    </row>
    <row r="270" spans="1:8" ht="15.75" customHeight="1">
      <c r="A270" s="1">
        <v>45</v>
      </c>
      <c r="B270" s="1" t="s">
        <v>10</v>
      </c>
      <c r="C270" s="1">
        <v>30.2</v>
      </c>
      <c r="D270" s="1">
        <v>1</v>
      </c>
      <c r="E270" s="1" t="s">
        <v>11</v>
      </c>
      <c r="F270" s="1" t="s">
        <v>9</v>
      </c>
      <c r="G270" s="1">
        <v>7441.0529999999999</v>
      </c>
      <c r="H270" t="str">
        <f t="shared" si="4"/>
        <v>40-49</v>
      </c>
    </row>
    <row r="271" spans="1:8" ht="15.75" customHeight="1">
      <c r="A271" s="1">
        <v>49</v>
      </c>
      <c r="B271" s="1" t="s">
        <v>10</v>
      </c>
      <c r="C271" s="1">
        <v>25.84</v>
      </c>
      <c r="D271" s="1">
        <v>1</v>
      </c>
      <c r="E271" s="1" t="s">
        <v>11</v>
      </c>
      <c r="F271" s="1" t="s">
        <v>14</v>
      </c>
      <c r="G271" s="1">
        <v>9282.4806000000008</v>
      </c>
      <c r="H271" t="str">
        <f t="shared" si="4"/>
        <v>40-49</v>
      </c>
    </row>
    <row r="272" spans="1:8" ht="15.75" customHeight="1">
      <c r="A272" s="1">
        <v>18</v>
      </c>
      <c r="B272" s="1" t="s">
        <v>10</v>
      </c>
      <c r="C272" s="1">
        <v>29.37</v>
      </c>
      <c r="D272" s="1">
        <v>1</v>
      </c>
      <c r="E272" s="1" t="s">
        <v>11</v>
      </c>
      <c r="F272" s="1" t="s">
        <v>12</v>
      </c>
      <c r="G272" s="1">
        <v>1719.4363000000001</v>
      </c>
      <c r="H272" t="str">
        <f t="shared" si="4"/>
        <v>18-29</v>
      </c>
    </row>
    <row r="273" spans="1:8" ht="15.75" customHeight="1">
      <c r="A273" s="1">
        <v>50</v>
      </c>
      <c r="B273" s="1" t="s">
        <v>10</v>
      </c>
      <c r="C273" s="1">
        <v>34.200000000000003</v>
      </c>
      <c r="D273" s="1">
        <v>2</v>
      </c>
      <c r="E273" s="1" t="s">
        <v>8</v>
      </c>
      <c r="F273" s="1" t="s">
        <v>9</v>
      </c>
      <c r="G273" s="1">
        <v>42856.838000000003</v>
      </c>
      <c r="H273" t="str">
        <f t="shared" si="4"/>
        <v>50-59</v>
      </c>
    </row>
    <row r="274" spans="1:8" ht="15.75" customHeight="1">
      <c r="A274" s="1">
        <v>41</v>
      </c>
      <c r="B274" s="1" t="s">
        <v>10</v>
      </c>
      <c r="C274" s="1">
        <v>37.049999999999997</v>
      </c>
      <c r="D274" s="1">
        <v>2</v>
      </c>
      <c r="E274" s="1" t="s">
        <v>11</v>
      </c>
      <c r="F274" s="1" t="s">
        <v>13</v>
      </c>
      <c r="G274" s="1">
        <v>7265.7025000000003</v>
      </c>
      <c r="H274" t="str">
        <f t="shared" si="4"/>
        <v>40-49</v>
      </c>
    </row>
    <row r="275" spans="1:8" ht="15.75" customHeight="1">
      <c r="A275" s="1">
        <v>50</v>
      </c>
      <c r="B275" s="1" t="s">
        <v>10</v>
      </c>
      <c r="C275" s="1">
        <v>27.454999999999998</v>
      </c>
      <c r="D275" s="1">
        <v>1</v>
      </c>
      <c r="E275" s="1" t="s">
        <v>11</v>
      </c>
      <c r="F275" s="1" t="s">
        <v>14</v>
      </c>
      <c r="G275" s="1">
        <v>9617.6624499999998</v>
      </c>
      <c r="H275" t="str">
        <f t="shared" si="4"/>
        <v>50-59</v>
      </c>
    </row>
    <row r="276" spans="1:8" ht="15.75" customHeight="1">
      <c r="A276" s="1">
        <v>25</v>
      </c>
      <c r="B276" s="1" t="s">
        <v>10</v>
      </c>
      <c r="C276" s="1">
        <v>27.55</v>
      </c>
      <c r="D276" s="1">
        <v>0</v>
      </c>
      <c r="E276" s="1" t="s">
        <v>11</v>
      </c>
      <c r="F276" s="1" t="s">
        <v>13</v>
      </c>
      <c r="G276" s="1">
        <v>2523.1695</v>
      </c>
      <c r="H276" t="str">
        <f t="shared" si="4"/>
        <v>18-29</v>
      </c>
    </row>
    <row r="277" spans="1:8" ht="15.75" customHeight="1">
      <c r="A277" s="1">
        <v>47</v>
      </c>
      <c r="B277" s="1" t="s">
        <v>7</v>
      </c>
      <c r="C277" s="1">
        <v>26.6</v>
      </c>
      <c r="D277" s="1">
        <v>2</v>
      </c>
      <c r="E277" s="1" t="s">
        <v>11</v>
      </c>
      <c r="F277" s="1" t="s">
        <v>14</v>
      </c>
      <c r="G277" s="1">
        <v>9715.8410000000003</v>
      </c>
      <c r="H277" t="str">
        <f t="shared" si="4"/>
        <v>40-49</v>
      </c>
    </row>
    <row r="278" spans="1:8" ht="15.75" customHeight="1">
      <c r="A278" s="1">
        <v>19</v>
      </c>
      <c r="B278" s="1" t="s">
        <v>10</v>
      </c>
      <c r="C278" s="1">
        <v>20.614999999999998</v>
      </c>
      <c r="D278" s="1">
        <v>2</v>
      </c>
      <c r="E278" s="1" t="s">
        <v>11</v>
      </c>
      <c r="F278" s="1" t="s">
        <v>13</v>
      </c>
      <c r="G278" s="1">
        <v>2803.69785</v>
      </c>
      <c r="H278" t="str">
        <f t="shared" si="4"/>
        <v>18-29</v>
      </c>
    </row>
    <row r="279" spans="1:8" ht="15.75" customHeight="1">
      <c r="A279" s="1">
        <v>22</v>
      </c>
      <c r="B279" s="1" t="s">
        <v>7</v>
      </c>
      <c r="C279" s="1">
        <v>24.3</v>
      </c>
      <c r="D279" s="1">
        <v>0</v>
      </c>
      <c r="E279" s="1" t="s">
        <v>11</v>
      </c>
      <c r="F279" s="1" t="s">
        <v>9</v>
      </c>
      <c r="G279" s="1">
        <v>2150.4690000000001</v>
      </c>
      <c r="H279" t="str">
        <f t="shared" si="4"/>
        <v>18-29</v>
      </c>
    </row>
    <row r="280" spans="1:8" ht="15.75" customHeight="1">
      <c r="A280" s="1">
        <v>59</v>
      </c>
      <c r="B280" s="1" t="s">
        <v>10</v>
      </c>
      <c r="C280" s="1">
        <v>31.79</v>
      </c>
      <c r="D280" s="1">
        <v>2</v>
      </c>
      <c r="E280" s="1" t="s">
        <v>11</v>
      </c>
      <c r="F280" s="1" t="s">
        <v>12</v>
      </c>
      <c r="G280" s="1">
        <v>12928.7911</v>
      </c>
      <c r="H280" t="str">
        <f t="shared" si="4"/>
        <v>50-59</v>
      </c>
    </row>
    <row r="281" spans="1:8" ht="15.75" customHeight="1">
      <c r="A281" s="1">
        <v>51</v>
      </c>
      <c r="B281" s="1" t="s">
        <v>7</v>
      </c>
      <c r="C281" s="1">
        <v>21.56</v>
      </c>
      <c r="D281" s="1">
        <v>1</v>
      </c>
      <c r="E281" s="1" t="s">
        <v>11</v>
      </c>
      <c r="F281" s="1" t="s">
        <v>12</v>
      </c>
      <c r="G281" s="1">
        <v>9855.1314000000002</v>
      </c>
      <c r="H281" t="str">
        <f t="shared" si="4"/>
        <v>50-59</v>
      </c>
    </row>
    <row r="282" spans="1:8" ht="15.75" customHeight="1">
      <c r="A282" s="1">
        <v>40</v>
      </c>
      <c r="B282" s="1" t="s">
        <v>7</v>
      </c>
      <c r="C282" s="1">
        <v>28.12</v>
      </c>
      <c r="D282" s="1">
        <v>1</v>
      </c>
      <c r="E282" s="1" t="s">
        <v>8</v>
      </c>
      <c r="F282" s="1" t="s">
        <v>14</v>
      </c>
      <c r="G282" s="1">
        <v>22331.566800000001</v>
      </c>
      <c r="H282" t="str">
        <f t="shared" si="4"/>
        <v>40-49</v>
      </c>
    </row>
    <row r="283" spans="1:8" ht="15.75" customHeight="1">
      <c r="A283" s="1">
        <v>54</v>
      </c>
      <c r="B283" s="1" t="s">
        <v>10</v>
      </c>
      <c r="C283" s="1">
        <v>40.564999999999998</v>
      </c>
      <c r="D283" s="1">
        <v>3</v>
      </c>
      <c r="E283" s="1" t="s">
        <v>8</v>
      </c>
      <c r="F283" s="1" t="s">
        <v>14</v>
      </c>
      <c r="G283" s="1">
        <v>48549.178350000002</v>
      </c>
      <c r="H283" t="str">
        <f t="shared" si="4"/>
        <v>50-59</v>
      </c>
    </row>
    <row r="284" spans="1:8" ht="15.75" customHeight="1">
      <c r="A284" s="1">
        <v>30</v>
      </c>
      <c r="B284" s="1" t="s">
        <v>10</v>
      </c>
      <c r="C284" s="1">
        <v>27.645</v>
      </c>
      <c r="D284" s="1">
        <v>1</v>
      </c>
      <c r="E284" s="1" t="s">
        <v>11</v>
      </c>
      <c r="F284" s="1" t="s">
        <v>14</v>
      </c>
      <c r="G284" s="1">
        <v>4237.12655</v>
      </c>
      <c r="H284" t="str">
        <f t="shared" si="4"/>
        <v>30-39</v>
      </c>
    </row>
    <row r="285" spans="1:8" ht="15.75" customHeight="1">
      <c r="A285" s="1">
        <v>55</v>
      </c>
      <c r="B285" s="1" t="s">
        <v>7</v>
      </c>
      <c r="C285" s="1">
        <v>32.395000000000003</v>
      </c>
      <c r="D285" s="1">
        <v>1</v>
      </c>
      <c r="E285" s="1" t="s">
        <v>11</v>
      </c>
      <c r="F285" s="1" t="s">
        <v>14</v>
      </c>
      <c r="G285" s="1">
        <v>11879.10405</v>
      </c>
      <c r="H285" t="str">
        <f t="shared" si="4"/>
        <v>50-59</v>
      </c>
    </row>
    <row r="286" spans="1:8" ht="15.75" customHeight="1">
      <c r="A286" s="1">
        <v>52</v>
      </c>
      <c r="B286" s="1" t="s">
        <v>7</v>
      </c>
      <c r="C286" s="1">
        <v>31.2</v>
      </c>
      <c r="D286" s="1">
        <v>0</v>
      </c>
      <c r="E286" s="1" t="s">
        <v>11</v>
      </c>
      <c r="F286" s="1" t="s">
        <v>9</v>
      </c>
      <c r="G286" s="1">
        <v>9625.92</v>
      </c>
      <c r="H286" t="str">
        <f t="shared" si="4"/>
        <v>50-59</v>
      </c>
    </row>
    <row r="287" spans="1:8" ht="15.75" customHeight="1">
      <c r="A287" s="1">
        <v>46</v>
      </c>
      <c r="B287" s="1" t="s">
        <v>10</v>
      </c>
      <c r="C287" s="1">
        <v>26.62</v>
      </c>
      <c r="D287" s="1">
        <v>1</v>
      </c>
      <c r="E287" s="1" t="s">
        <v>11</v>
      </c>
      <c r="F287" s="1" t="s">
        <v>12</v>
      </c>
      <c r="G287" s="1">
        <v>7742.1098000000002</v>
      </c>
      <c r="H287" t="str">
        <f t="shared" si="4"/>
        <v>40-49</v>
      </c>
    </row>
    <row r="288" spans="1:8" ht="15.75" customHeight="1">
      <c r="A288" s="1">
        <v>46</v>
      </c>
      <c r="B288" s="1" t="s">
        <v>7</v>
      </c>
      <c r="C288" s="1">
        <v>48.07</v>
      </c>
      <c r="D288" s="1">
        <v>2</v>
      </c>
      <c r="E288" s="1" t="s">
        <v>11</v>
      </c>
      <c r="F288" s="1" t="s">
        <v>14</v>
      </c>
      <c r="G288" s="1">
        <v>9432.9253000000008</v>
      </c>
      <c r="H288" t="str">
        <f t="shared" si="4"/>
        <v>40-49</v>
      </c>
    </row>
    <row r="289" spans="1:8" ht="15.75" customHeight="1">
      <c r="A289" s="1">
        <v>63</v>
      </c>
      <c r="B289" s="1" t="s">
        <v>7</v>
      </c>
      <c r="C289" s="1">
        <v>26.22</v>
      </c>
      <c r="D289" s="1">
        <v>0</v>
      </c>
      <c r="E289" s="1" t="s">
        <v>11</v>
      </c>
      <c r="F289" s="1" t="s">
        <v>13</v>
      </c>
      <c r="G289" s="1">
        <v>14256.192800000001</v>
      </c>
      <c r="H289" t="str">
        <f t="shared" si="4"/>
        <v>60+</v>
      </c>
    </row>
    <row r="290" spans="1:8" ht="15.75" customHeight="1">
      <c r="A290" s="1">
        <v>59</v>
      </c>
      <c r="B290" s="1" t="s">
        <v>7</v>
      </c>
      <c r="C290" s="1">
        <v>36.765000000000001</v>
      </c>
      <c r="D290" s="1">
        <v>1</v>
      </c>
      <c r="E290" s="1" t="s">
        <v>8</v>
      </c>
      <c r="F290" s="1" t="s">
        <v>14</v>
      </c>
      <c r="G290" s="1">
        <v>47896.79135</v>
      </c>
      <c r="H290" t="str">
        <f t="shared" si="4"/>
        <v>50-59</v>
      </c>
    </row>
    <row r="291" spans="1:8" ht="15.75" customHeight="1">
      <c r="A291" s="1">
        <v>52</v>
      </c>
      <c r="B291" s="1" t="s">
        <v>10</v>
      </c>
      <c r="C291" s="1">
        <v>26.4</v>
      </c>
      <c r="D291" s="1">
        <v>3</v>
      </c>
      <c r="E291" s="1" t="s">
        <v>11</v>
      </c>
      <c r="F291" s="1" t="s">
        <v>12</v>
      </c>
      <c r="G291" s="1">
        <v>25992.821039999999</v>
      </c>
      <c r="H291" t="str">
        <f t="shared" si="4"/>
        <v>50-59</v>
      </c>
    </row>
    <row r="292" spans="1:8" ht="15.75" customHeight="1">
      <c r="A292" s="1">
        <v>28</v>
      </c>
      <c r="B292" s="1" t="s">
        <v>7</v>
      </c>
      <c r="C292" s="1">
        <v>33.4</v>
      </c>
      <c r="D292" s="1">
        <v>0</v>
      </c>
      <c r="E292" s="1" t="s">
        <v>11</v>
      </c>
      <c r="F292" s="1" t="s">
        <v>9</v>
      </c>
      <c r="G292" s="1">
        <v>3172.018</v>
      </c>
      <c r="H292" t="str">
        <f t="shared" si="4"/>
        <v>18-29</v>
      </c>
    </row>
    <row r="293" spans="1:8" ht="15.75" customHeight="1">
      <c r="A293" s="1">
        <v>29</v>
      </c>
      <c r="B293" s="1" t="s">
        <v>10</v>
      </c>
      <c r="C293" s="1">
        <v>29.64</v>
      </c>
      <c r="D293" s="1">
        <v>1</v>
      </c>
      <c r="E293" s="1" t="s">
        <v>11</v>
      </c>
      <c r="F293" s="1" t="s">
        <v>14</v>
      </c>
      <c r="G293" s="1">
        <v>20277.807509999999</v>
      </c>
      <c r="H293" t="str">
        <f t="shared" si="4"/>
        <v>18-29</v>
      </c>
    </row>
    <row r="294" spans="1:8" ht="15.75" customHeight="1">
      <c r="A294" s="1">
        <v>25</v>
      </c>
      <c r="B294" s="1" t="s">
        <v>10</v>
      </c>
      <c r="C294" s="1">
        <v>45.54</v>
      </c>
      <c r="D294" s="1">
        <v>2</v>
      </c>
      <c r="E294" s="1" t="s">
        <v>8</v>
      </c>
      <c r="F294" s="1" t="s">
        <v>12</v>
      </c>
      <c r="G294" s="1">
        <v>42112.2356</v>
      </c>
      <c r="H294" t="str">
        <f t="shared" si="4"/>
        <v>18-29</v>
      </c>
    </row>
    <row r="295" spans="1:8" ht="15.75" customHeight="1">
      <c r="A295" s="1">
        <v>22</v>
      </c>
      <c r="B295" s="1" t="s">
        <v>7</v>
      </c>
      <c r="C295" s="1">
        <v>28.82</v>
      </c>
      <c r="D295" s="1">
        <v>0</v>
      </c>
      <c r="E295" s="1" t="s">
        <v>11</v>
      </c>
      <c r="F295" s="1" t="s">
        <v>12</v>
      </c>
      <c r="G295" s="1">
        <v>2156.7518</v>
      </c>
      <c r="H295" t="str">
        <f t="shared" si="4"/>
        <v>18-29</v>
      </c>
    </row>
    <row r="296" spans="1:8" ht="15.75" customHeight="1">
      <c r="A296" s="1">
        <v>25</v>
      </c>
      <c r="B296" s="1" t="s">
        <v>10</v>
      </c>
      <c r="C296" s="1">
        <v>26.8</v>
      </c>
      <c r="D296" s="1">
        <v>3</v>
      </c>
      <c r="E296" s="1" t="s">
        <v>11</v>
      </c>
      <c r="F296" s="1" t="s">
        <v>9</v>
      </c>
      <c r="G296" s="1">
        <v>3906.127</v>
      </c>
      <c r="H296" t="str">
        <f t="shared" si="4"/>
        <v>18-29</v>
      </c>
    </row>
    <row r="297" spans="1:8" ht="15.75" customHeight="1">
      <c r="A297" s="1">
        <v>18</v>
      </c>
      <c r="B297" s="1" t="s">
        <v>10</v>
      </c>
      <c r="C297" s="1">
        <v>22.99</v>
      </c>
      <c r="D297" s="1">
        <v>0</v>
      </c>
      <c r="E297" s="1" t="s">
        <v>11</v>
      </c>
      <c r="F297" s="1" t="s">
        <v>14</v>
      </c>
      <c r="G297" s="1">
        <v>1704.5681</v>
      </c>
      <c r="H297" t="str">
        <f t="shared" si="4"/>
        <v>18-29</v>
      </c>
    </row>
    <row r="298" spans="1:8" ht="15.75" customHeight="1">
      <c r="A298" s="1">
        <v>19</v>
      </c>
      <c r="B298" s="1" t="s">
        <v>10</v>
      </c>
      <c r="C298" s="1">
        <v>27.7</v>
      </c>
      <c r="D298" s="1">
        <v>0</v>
      </c>
      <c r="E298" s="1" t="s">
        <v>8</v>
      </c>
      <c r="F298" s="1" t="s">
        <v>9</v>
      </c>
      <c r="G298" s="1">
        <v>16297.846</v>
      </c>
      <c r="H298" t="str">
        <f t="shared" si="4"/>
        <v>18-29</v>
      </c>
    </row>
    <row r="299" spans="1:8" ht="15.75" customHeight="1">
      <c r="A299" s="1">
        <v>47</v>
      </c>
      <c r="B299" s="1" t="s">
        <v>10</v>
      </c>
      <c r="C299" s="1">
        <v>25.41</v>
      </c>
      <c r="D299" s="1">
        <v>1</v>
      </c>
      <c r="E299" s="1" t="s">
        <v>8</v>
      </c>
      <c r="F299" s="1" t="s">
        <v>12</v>
      </c>
      <c r="G299" s="1">
        <v>21978.676899999999</v>
      </c>
      <c r="H299" t="str">
        <f t="shared" si="4"/>
        <v>40-49</v>
      </c>
    </row>
    <row r="300" spans="1:8" ht="15.75" customHeight="1">
      <c r="A300" s="1">
        <v>31</v>
      </c>
      <c r="B300" s="1" t="s">
        <v>10</v>
      </c>
      <c r="C300" s="1">
        <v>34.39</v>
      </c>
      <c r="D300" s="1">
        <v>3</v>
      </c>
      <c r="E300" s="1" t="s">
        <v>8</v>
      </c>
      <c r="F300" s="1" t="s">
        <v>13</v>
      </c>
      <c r="G300" s="1">
        <v>38746.355100000001</v>
      </c>
      <c r="H300" t="str">
        <f t="shared" si="4"/>
        <v>30-39</v>
      </c>
    </row>
    <row r="301" spans="1:8" ht="15.75" customHeight="1">
      <c r="A301" s="1">
        <v>48</v>
      </c>
      <c r="B301" s="1" t="s">
        <v>7</v>
      </c>
      <c r="C301" s="1">
        <v>28.88</v>
      </c>
      <c r="D301" s="1">
        <v>1</v>
      </c>
      <c r="E301" s="1" t="s">
        <v>11</v>
      </c>
      <c r="F301" s="1" t="s">
        <v>13</v>
      </c>
      <c r="G301" s="1">
        <v>9249.4951999999994</v>
      </c>
      <c r="H301" t="str">
        <f t="shared" si="4"/>
        <v>40-49</v>
      </c>
    </row>
    <row r="302" spans="1:8" ht="15.75" customHeight="1">
      <c r="A302" s="1">
        <v>36</v>
      </c>
      <c r="B302" s="1" t="s">
        <v>10</v>
      </c>
      <c r="C302" s="1">
        <v>27.55</v>
      </c>
      <c r="D302" s="1">
        <v>3</v>
      </c>
      <c r="E302" s="1" t="s">
        <v>11</v>
      </c>
      <c r="F302" s="1" t="s">
        <v>14</v>
      </c>
      <c r="G302" s="1">
        <v>6746.7425000000003</v>
      </c>
      <c r="H302" t="str">
        <f t="shared" si="4"/>
        <v>30-39</v>
      </c>
    </row>
    <row r="303" spans="1:8" ht="15.75" customHeight="1">
      <c r="A303" s="1">
        <v>53</v>
      </c>
      <c r="B303" s="1" t="s">
        <v>7</v>
      </c>
      <c r="C303" s="1">
        <v>22.61</v>
      </c>
      <c r="D303" s="1">
        <v>3</v>
      </c>
      <c r="E303" s="1" t="s">
        <v>8</v>
      </c>
      <c r="F303" s="1" t="s">
        <v>14</v>
      </c>
      <c r="G303" s="1">
        <v>24873.384900000001</v>
      </c>
      <c r="H303" t="str">
        <f t="shared" si="4"/>
        <v>50-59</v>
      </c>
    </row>
    <row r="304" spans="1:8" ht="15.75" customHeight="1">
      <c r="A304" s="1">
        <v>56</v>
      </c>
      <c r="B304" s="1" t="s">
        <v>7</v>
      </c>
      <c r="C304" s="1">
        <v>37.51</v>
      </c>
      <c r="D304" s="1">
        <v>2</v>
      </c>
      <c r="E304" s="1" t="s">
        <v>11</v>
      </c>
      <c r="F304" s="1" t="s">
        <v>12</v>
      </c>
      <c r="G304" s="1">
        <v>12265.5069</v>
      </c>
      <c r="H304" t="str">
        <f t="shared" si="4"/>
        <v>50-59</v>
      </c>
    </row>
    <row r="305" spans="1:8" ht="15.75" customHeight="1">
      <c r="A305" s="1">
        <v>28</v>
      </c>
      <c r="B305" s="1" t="s">
        <v>7</v>
      </c>
      <c r="C305" s="1">
        <v>33</v>
      </c>
      <c r="D305" s="1">
        <v>2</v>
      </c>
      <c r="E305" s="1" t="s">
        <v>11</v>
      </c>
      <c r="F305" s="1" t="s">
        <v>12</v>
      </c>
      <c r="G305" s="1">
        <v>4349.4620000000004</v>
      </c>
      <c r="H305" t="str">
        <f t="shared" si="4"/>
        <v>18-29</v>
      </c>
    </row>
    <row r="306" spans="1:8" ht="15.75" customHeight="1">
      <c r="A306" s="1">
        <v>57</v>
      </c>
      <c r="B306" s="1" t="s">
        <v>7</v>
      </c>
      <c r="C306" s="1">
        <v>38</v>
      </c>
      <c r="D306" s="1">
        <v>2</v>
      </c>
      <c r="E306" s="1" t="s">
        <v>11</v>
      </c>
      <c r="F306" s="1" t="s">
        <v>9</v>
      </c>
      <c r="G306" s="1">
        <v>12646.207</v>
      </c>
      <c r="H306" t="str">
        <f t="shared" si="4"/>
        <v>50-59</v>
      </c>
    </row>
    <row r="307" spans="1:8" ht="15.75" customHeight="1">
      <c r="A307" s="1">
        <v>29</v>
      </c>
      <c r="B307" s="1" t="s">
        <v>10</v>
      </c>
      <c r="C307" s="1">
        <v>33.344999999999999</v>
      </c>
      <c r="D307" s="1">
        <v>2</v>
      </c>
      <c r="E307" s="1" t="s">
        <v>11</v>
      </c>
      <c r="F307" s="1" t="s">
        <v>13</v>
      </c>
      <c r="G307" s="1">
        <v>19442.353500000001</v>
      </c>
      <c r="H307" t="str">
        <f t="shared" si="4"/>
        <v>18-29</v>
      </c>
    </row>
    <row r="308" spans="1:8" ht="15.75" customHeight="1">
      <c r="A308" s="1">
        <v>28</v>
      </c>
      <c r="B308" s="1" t="s">
        <v>7</v>
      </c>
      <c r="C308" s="1">
        <v>27.5</v>
      </c>
      <c r="D308" s="1">
        <v>2</v>
      </c>
      <c r="E308" s="1" t="s">
        <v>11</v>
      </c>
      <c r="F308" s="1" t="s">
        <v>9</v>
      </c>
      <c r="G308" s="1">
        <v>20177.671129999999</v>
      </c>
      <c r="H308" t="str">
        <f t="shared" si="4"/>
        <v>18-29</v>
      </c>
    </row>
    <row r="309" spans="1:8" ht="15.75" customHeight="1">
      <c r="A309" s="1">
        <v>30</v>
      </c>
      <c r="B309" s="1" t="s">
        <v>7</v>
      </c>
      <c r="C309" s="1">
        <v>33.33</v>
      </c>
      <c r="D309" s="1">
        <v>1</v>
      </c>
      <c r="E309" s="1" t="s">
        <v>11</v>
      </c>
      <c r="F309" s="1" t="s">
        <v>12</v>
      </c>
      <c r="G309" s="1">
        <v>4151.0286999999998</v>
      </c>
      <c r="H309" t="str">
        <f t="shared" si="4"/>
        <v>30-39</v>
      </c>
    </row>
    <row r="310" spans="1:8" ht="15.75" customHeight="1">
      <c r="A310" s="1">
        <v>58</v>
      </c>
      <c r="B310" s="1" t="s">
        <v>10</v>
      </c>
      <c r="C310" s="1">
        <v>34.865000000000002</v>
      </c>
      <c r="D310" s="1">
        <v>0</v>
      </c>
      <c r="E310" s="1" t="s">
        <v>11</v>
      </c>
      <c r="F310" s="1" t="s">
        <v>14</v>
      </c>
      <c r="G310" s="1">
        <v>11944.594349999999</v>
      </c>
      <c r="H310" t="str">
        <f t="shared" si="4"/>
        <v>50-59</v>
      </c>
    </row>
    <row r="311" spans="1:8" ht="15.75" customHeight="1">
      <c r="A311" s="1">
        <v>41</v>
      </c>
      <c r="B311" s="1" t="s">
        <v>7</v>
      </c>
      <c r="C311" s="1">
        <v>33.06</v>
      </c>
      <c r="D311" s="1">
        <v>2</v>
      </c>
      <c r="E311" s="1" t="s">
        <v>11</v>
      </c>
      <c r="F311" s="1" t="s">
        <v>13</v>
      </c>
      <c r="G311" s="1">
        <v>7749.1563999999998</v>
      </c>
      <c r="H311" t="str">
        <f t="shared" si="4"/>
        <v>40-49</v>
      </c>
    </row>
    <row r="312" spans="1:8" ht="15.75" customHeight="1">
      <c r="A312" s="1">
        <v>50</v>
      </c>
      <c r="B312" s="1" t="s">
        <v>10</v>
      </c>
      <c r="C312" s="1">
        <v>26.6</v>
      </c>
      <c r="D312" s="1">
        <v>0</v>
      </c>
      <c r="E312" s="1" t="s">
        <v>11</v>
      </c>
      <c r="F312" s="1" t="s">
        <v>9</v>
      </c>
      <c r="G312" s="1">
        <v>8444.4740000000002</v>
      </c>
      <c r="H312" t="str">
        <f t="shared" si="4"/>
        <v>50-59</v>
      </c>
    </row>
    <row r="313" spans="1:8" ht="15.75" customHeight="1">
      <c r="A313" s="1">
        <v>19</v>
      </c>
      <c r="B313" s="1" t="s">
        <v>7</v>
      </c>
      <c r="C313" s="1">
        <v>24.7</v>
      </c>
      <c r="D313" s="1">
        <v>0</v>
      </c>
      <c r="E313" s="1" t="s">
        <v>11</v>
      </c>
      <c r="F313" s="1" t="s">
        <v>9</v>
      </c>
      <c r="G313" s="1">
        <v>1737.376</v>
      </c>
      <c r="H313" t="str">
        <f t="shared" si="4"/>
        <v>18-29</v>
      </c>
    </row>
    <row r="314" spans="1:8" ht="15.75" customHeight="1">
      <c r="A314" s="1">
        <v>43</v>
      </c>
      <c r="B314" s="1" t="s">
        <v>10</v>
      </c>
      <c r="C314" s="1">
        <v>35.97</v>
      </c>
      <c r="D314" s="1">
        <v>3</v>
      </c>
      <c r="E314" s="1" t="s">
        <v>8</v>
      </c>
      <c r="F314" s="1" t="s">
        <v>12</v>
      </c>
      <c r="G314" s="1">
        <v>42124.515299999999</v>
      </c>
      <c r="H314" t="str">
        <f t="shared" si="4"/>
        <v>40-49</v>
      </c>
    </row>
    <row r="315" spans="1:8" ht="15.75" customHeight="1">
      <c r="A315" s="1">
        <v>49</v>
      </c>
      <c r="B315" s="1" t="s">
        <v>10</v>
      </c>
      <c r="C315" s="1">
        <v>35.86</v>
      </c>
      <c r="D315" s="1">
        <v>0</v>
      </c>
      <c r="E315" s="1" t="s">
        <v>11</v>
      </c>
      <c r="F315" s="1" t="s">
        <v>12</v>
      </c>
      <c r="G315" s="1">
        <v>8124.4084000000003</v>
      </c>
      <c r="H315" t="str">
        <f t="shared" si="4"/>
        <v>40-49</v>
      </c>
    </row>
    <row r="316" spans="1:8" ht="15.75" customHeight="1">
      <c r="A316" s="1">
        <v>27</v>
      </c>
      <c r="B316" s="1" t="s">
        <v>7</v>
      </c>
      <c r="C316" s="1">
        <v>31.4</v>
      </c>
      <c r="D316" s="1">
        <v>0</v>
      </c>
      <c r="E316" s="1" t="s">
        <v>8</v>
      </c>
      <c r="F316" s="1" t="s">
        <v>9</v>
      </c>
      <c r="G316" s="1">
        <v>34838.873</v>
      </c>
      <c r="H316" t="str">
        <f t="shared" si="4"/>
        <v>18-29</v>
      </c>
    </row>
    <row r="317" spans="1:8" ht="15.75" customHeight="1">
      <c r="A317" s="1">
        <v>52</v>
      </c>
      <c r="B317" s="1" t="s">
        <v>10</v>
      </c>
      <c r="C317" s="1">
        <v>33.25</v>
      </c>
      <c r="D317" s="1">
        <v>0</v>
      </c>
      <c r="E317" s="1" t="s">
        <v>11</v>
      </c>
      <c r="F317" s="1" t="s">
        <v>14</v>
      </c>
      <c r="G317" s="1">
        <v>9722.7695000000003</v>
      </c>
      <c r="H317" t="str">
        <f t="shared" si="4"/>
        <v>50-59</v>
      </c>
    </row>
    <row r="318" spans="1:8" ht="15.75" customHeight="1">
      <c r="A318" s="1">
        <v>50</v>
      </c>
      <c r="B318" s="1" t="s">
        <v>10</v>
      </c>
      <c r="C318" s="1">
        <v>32.204999999999998</v>
      </c>
      <c r="D318" s="1">
        <v>0</v>
      </c>
      <c r="E318" s="1" t="s">
        <v>11</v>
      </c>
      <c r="F318" s="1" t="s">
        <v>13</v>
      </c>
      <c r="G318" s="1">
        <v>8835.2649500000007</v>
      </c>
      <c r="H318" t="str">
        <f t="shared" si="4"/>
        <v>50-59</v>
      </c>
    </row>
    <row r="319" spans="1:8" ht="15.75" customHeight="1">
      <c r="A319" s="1">
        <v>54</v>
      </c>
      <c r="B319" s="1" t="s">
        <v>10</v>
      </c>
      <c r="C319" s="1">
        <v>32.774999999999999</v>
      </c>
      <c r="D319" s="1">
        <v>0</v>
      </c>
      <c r="E319" s="1" t="s">
        <v>11</v>
      </c>
      <c r="F319" s="1" t="s">
        <v>14</v>
      </c>
      <c r="G319" s="1">
        <v>10435.06525</v>
      </c>
      <c r="H319" t="str">
        <f t="shared" si="4"/>
        <v>50-59</v>
      </c>
    </row>
    <row r="320" spans="1:8" ht="15.75" customHeight="1">
      <c r="A320" s="1">
        <v>44</v>
      </c>
      <c r="B320" s="1" t="s">
        <v>7</v>
      </c>
      <c r="C320" s="1">
        <v>27.645</v>
      </c>
      <c r="D320" s="1">
        <v>0</v>
      </c>
      <c r="E320" s="1" t="s">
        <v>11</v>
      </c>
      <c r="F320" s="1" t="s">
        <v>13</v>
      </c>
      <c r="G320" s="1">
        <v>7421.1945500000002</v>
      </c>
      <c r="H320" t="str">
        <f t="shared" si="4"/>
        <v>40-49</v>
      </c>
    </row>
    <row r="321" spans="1:8" ht="15.75" customHeight="1">
      <c r="A321" s="1">
        <v>32</v>
      </c>
      <c r="B321" s="1" t="s">
        <v>10</v>
      </c>
      <c r="C321" s="1">
        <v>37.335000000000001</v>
      </c>
      <c r="D321" s="1">
        <v>1</v>
      </c>
      <c r="E321" s="1" t="s">
        <v>11</v>
      </c>
      <c r="F321" s="1" t="s">
        <v>14</v>
      </c>
      <c r="G321" s="1">
        <v>4667.6076499999999</v>
      </c>
      <c r="H321" t="str">
        <f t="shared" si="4"/>
        <v>30-39</v>
      </c>
    </row>
    <row r="322" spans="1:8" ht="15.75" customHeight="1">
      <c r="A322" s="1">
        <v>34</v>
      </c>
      <c r="B322" s="1" t="s">
        <v>10</v>
      </c>
      <c r="C322" s="1">
        <v>25.27</v>
      </c>
      <c r="D322" s="1">
        <v>1</v>
      </c>
      <c r="E322" s="1" t="s">
        <v>11</v>
      </c>
      <c r="F322" s="1" t="s">
        <v>13</v>
      </c>
      <c r="G322" s="1">
        <v>4894.7533000000003</v>
      </c>
      <c r="H322" t="str">
        <f t="shared" si="4"/>
        <v>30-39</v>
      </c>
    </row>
    <row r="323" spans="1:8" ht="15.75" customHeight="1">
      <c r="A323" s="1">
        <v>26</v>
      </c>
      <c r="B323" s="1" t="s">
        <v>7</v>
      </c>
      <c r="C323" s="1">
        <v>29.64</v>
      </c>
      <c r="D323" s="1">
        <v>4</v>
      </c>
      <c r="E323" s="1" t="s">
        <v>11</v>
      </c>
      <c r="F323" s="1" t="s">
        <v>14</v>
      </c>
      <c r="G323" s="1">
        <v>24671.663339999999</v>
      </c>
      <c r="H323" t="str">
        <f t="shared" ref="H323:H386" si="5">IF(A323&lt;30,"18-29",IF(A323&lt;40,"30-39",IF(A323&lt;50,"40-49",IF(A323&lt;60,"50-59","60+"))))</f>
        <v>18-29</v>
      </c>
    </row>
    <row r="324" spans="1:8" ht="15.75" customHeight="1">
      <c r="A324" s="1">
        <v>34</v>
      </c>
      <c r="B324" s="1" t="s">
        <v>10</v>
      </c>
      <c r="C324" s="1">
        <v>30.8</v>
      </c>
      <c r="D324" s="1">
        <v>0</v>
      </c>
      <c r="E324" s="1" t="s">
        <v>8</v>
      </c>
      <c r="F324" s="1" t="s">
        <v>9</v>
      </c>
      <c r="G324" s="1">
        <v>35491.64</v>
      </c>
      <c r="H324" t="str">
        <f t="shared" si="5"/>
        <v>30-39</v>
      </c>
    </row>
    <row r="325" spans="1:8" ht="15.75" customHeight="1">
      <c r="A325" s="1">
        <v>57</v>
      </c>
      <c r="B325" s="1" t="s">
        <v>10</v>
      </c>
      <c r="C325" s="1">
        <v>40.945</v>
      </c>
      <c r="D325" s="1">
        <v>0</v>
      </c>
      <c r="E325" s="1" t="s">
        <v>11</v>
      </c>
      <c r="F325" s="1" t="s">
        <v>14</v>
      </c>
      <c r="G325" s="1">
        <v>11566.30055</v>
      </c>
      <c r="H325" t="str">
        <f t="shared" si="5"/>
        <v>50-59</v>
      </c>
    </row>
    <row r="326" spans="1:8" ht="15.75" customHeight="1">
      <c r="A326" s="1">
        <v>29</v>
      </c>
      <c r="B326" s="1" t="s">
        <v>10</v>
      </c>
      <c r="C326" s="1">
        <v>27.2</v>
      </c>
      <c r="D326" s="1">
        <v>0</v>
      </c>
      <c r="E326" s="1" t="s">
        <v>11</v>
      </c>
      <c r="F326" s="1" t="s">
        <v>9</v>
      </c>
      <c r="G326" s="1">
        <v>2866.0909999999999</v>
      </c>
      <c r="H326" t="str">
        <f t="shared" si="5"/>
        <v>18-29</v>
      </c>
    </row>
    <row r="327" spans="1:8" ht="15.75" customHeight="1">
      <c r="A327" s="1">
        <v>40</v>
      </c>
      <c r="B327" s="1" t="s">
        <v>10</v>
      </c>
      <c r="C327" s="1">
        <v>34.104999999999997</v>
      </c>
      <c r="D327" s="1">
        <v>1</v>
      </c>
      <c r="E327" s="1" t="s">
        <v>11</v>
      </c>
      <c r="F327" s="1" t="s">
        <v>14</v>
      </c>
      <c r="G327" s="1">
        <v>6600.2059499999996</v>
      </c>
      <c r="H327" t="str">
        <f t="shared" si="5"/>
        <v>40-49</v>
      </c>
    </row>
    <row r="328" spans="1:8" ht="15.75" customHeight="1">
      <c r="A328" s="1">
        <v>27</v>
      </c>
      <c r="B328" s="1" t="s">
        <v>7</v>
      </c>
      <c r="C328" s="1">
        <v>23.21</v>
      </c>
      <c r="D328" s="1">
        <v>1</v>
      </c>
      <c r="E328" s="1" t="s">
        <v>11</v>
      </c>
      <c r="F328" s="1" t="s">
        <v>12</v>
      </c>
      <c r="G328" s="1">
        <v>3561.8888999999999</v>
      </c>
      <c r="H328" t="str">
        <f t="shared" si="5"/>
        <v>18-29</v>
      </c>
    </row>
    <row r="329" spans="1:8" ht="15.75" customHeight="1">
      <c r="A329" s="1">
        <v>45</v>
      </c>
      <c r="B329" s="1" t="s">
        <v>10</v>
      </c>
      <c r="C329" s="1">
        <v>36.479999999999997</v>
      </c>
      <c r="D329" s="1">
        <v>2</v>
      </c>
      <c r="E329" s="1" t="s">
        <v>8</v>
      </c>
      <c r="F329" s="1" t="s">
        <v>13</v>
      </c>
      <c r="G329" s="1">
        <v>42760.502200000003</v>
      </c>
      <c r="H329" t="str">
        <f t="shared" si="5"/>
        <v>40-49</v>
      </c>
    </row>
    <row r="330" spans="1:8" ht="15.75" customHeight="1">
      <c r="A330" s="1">
        <v>64</v>
      </c>
      <c r="B330" s="1" t="s">
        <v>7</v>
      </c>
      <c r="C330" s="1">
        <v>33.799999999999997</v>
      </c>
      <c r="D330" s="1">
        <v>1</v>
      </c>
      <c r="E330" s="1" t="s">
        <v>8</v>
      </c>
      <c r="F330" s="1" t="s">
        <v>9</v>
      </c>
      <c r="G330" s="1">
        <v>47928.03</v>
      </c>
      <c r="H330" t="str">
        <f t="shared" si="5"/>
        <v>60+</v>
      </c>
    </row>
    <row r="331" spans="1:8" ht="15.75" customHeight="1">
      <c r="A331" s="1">
        <v>52</v>
      </c>
      <c r="B331" s="1" t="s">
        <v>10</v>
      </c>
      <c r="C331" s="1">
        <v>36.700000000000003</v>
      </c>
      <c r="D331" s="1">
        <v>0</v>
      </c>
      <c r="E331" s="1" t="s">
        <v>11</v>
      </c>
      <c r="F331" s="1" t="s">
        <v>9</v>
      </c>
      <c r="G331" s="1">
        <v>9144.5650000000005</v>
      </c>
      <c r="H331" t="str">
        <f t="shared" si="5"/>
        <v>50-59</v>
      </c>
    </row>
    <row r="332" spans="1:8" ht="15.75" customHeight="1">
      <c r="A332" s="1">
        <v>61</v>
      </c>
      <c r="B332" s="1" t="s">
        <v>7</v>
      </c>
      <c r="C332" s="1">
        <v>36.384999999999998</v>
      </c>
      <c r="D332" s="1">
        <v>1</v>
      </c>
      <c r="E332" s="1" t="s">
        <v>8</v>
      </c>
      <c r="F332" s="1" t="s">
        <v>14</v>
      </c>
      <c r="G332" s="1">
        <v>48517.563150000002</v>
      </c>
      <c r="H332" t="str">
        <f t="shared" si="5"/>
        <v>60+</v>
      </c>
    </row>
    <row r="333" spans="1:8" ht="15.75" customHeight="1">
      <c r="A333" s="1">
        <v>52</v>
      </c>
      <c r="B333" s="1" t="s">
        <v>10</v>
      </c>
      <c r="C333" s="1">
        <v>27.36</v>
      </c>
      <c r="D333" s="1">
        <v>0</v>
      </c>
      <c r="E333" s="1" t="s">
        <v>8</v>
      </c>
      <c r="F333" s="1" t="s">
        <v>13</v>
      </c>
      <c r="G333" s="1">
        <v>24393.6224</v>
      </c>
      <c r="H333" t="str">
        <f t="shared" si="5"/>
        <v>50-59</v>
      </c>
    </row>
    <row r="334" spans="1:8" ht="15.75" customHeight="1">
      <c r="A334" s="1">
        <v>61</v>
      </c>
      <c r="B334" s="1" t="s">
        <v>7</v>
      </c>
      <c r="C334" s="1">
        <v>31.16</v>
      </c>
      <c r="D334" s="1">
        <v>0</v>
      </c>
      <c r="E334" s="1" t="s">
        <v>11</v>
      </c>
      <c r="F334" s="1" t="s">
        <v>13</v>
      </c>
      <c r="G334" s="1">
        <v>13429.035400000001</v>
      </c>
      <c r="H334" t="str">
        <f t="shared" si="5"/>
        <v>60+</v>
      </c>
    </row>
    <row r="335" spans="1:8" ht="15.75" customHeight="1">
      <c r="A335" s="1">
        <v>56</v>
      </c>
      <c r="B335" s="1" t="s">
        <v>7</v>
      </c>
      <c r="C335" s="1">
        <v>28.785</v>
      </c>
      <c r="D335" s="1">
        <v>0</v>
      </c>
      <c r="E335" s="1" t="s">
        <v>11</v>
      </c>
      <c r="F335" s="1" t="s">
        <v>14</v>
      </c>
      <c r="G335" s="1">
        <v>11658.379150000001</v>
      </c>
      <c r="H335" t="str">
        <f t="shared" si="5"/>
        <v>50-59</v>
      </c>
    </row>
    <row r="336" spans="1:8" ht="15.75" customHeight="1">
      <c r="A336" s="1">
        <v>43</v>
      </c>
      <c r="B336" s="1" t="s">
        <v>7</v>
      </c>
      <c r="C336" s="1">
        <v>35.72</v>
      </c>
      <c r="D336" s="1">
        <v>2</v>
      </c>
      <c r="E336" s="1" t="s">
        <v>11</v>
      </c>
      <c r="F336" s="1" t="s">
        <v>14</v>
      </c>
      <c r="G336" s="1">
        <v>19144.576519999999</v>
      </c>
      <c r="H336" t="str">
        <f t="shared" si="5"/>
        <v>40-49</v>
      </c>
    </row>
    <row r="337" spans="1:8" ht="15.75" customHeight="1">
      <c r="A337" s="1">
        <v>64</v>
      </c>
      <c r="B337" s="1" t="s">
        <v>10</v>
      </c>
      <c r="C337" s="1">
        <v>34.5</v>
      </c>
      <c r="D337" s="1">
        <v>0</v>
      </c>
      <c r="E337" s="1" t="s">
        <v>11</v>
      </c>
      <c r="F337" s="1" t="s">
        <v>9</v>
      </c>
      <c r="G337" s="1">
        <v>13822.803</v>
      </c>
      <c r="H337" t="str">
        <f t="shared" si="5"/>
        <v>60+</v>
      </c>
    </row>
    <row r="338" spans="1:8" ht="15.75" customHeight="1">
      <c r="A338" s="1">
        <v>60</v>
      </c>
      <c r="B338" s="1" t="s">
        <v>10</v>
      </c>
      <c r="C338" s="1">
        <v>25.74</v>
      </c>
      <c r="D338" s="1">
        <v>0</v>
      </c>
      <c r="E338" s="1" t="s">
        <v>11</v>
      </c>
      <c r="F338" s="1" t="s">
        <v>12</v>
      </c>
      <c r="G338" s="1">
        <v>12142.578600000001</v>
      </c>
      <c r="H338" t="str">
        <f t="shared" si="5"/>
        <v>60+</v>
      </c>
    </row>
    <row r="339" spans="1:8" ht="15.75" customHeight="1">
      <c r="A339" s="1">
        <v>62</v>
      </c>
      <c r="B339" s="1" t="s">
        <v>10</v>
      </c>
      <c r="C339" s="1">
        <v>27.55</v>
      </c>
      <c r="D339" s="1">
        <v>1</v>
      </c>
      <c r="E339" s="1" t="s">
        <v>11</v>
      </c>
      <c r="F339" s="1" t="s">
        <v>13</v>
      </c>
      <c r="G339" s="1">
        <v>13937.666499999999</v>
      </c>
      <c r="H339" t="str">
        <f t="shared" si="5"/>
        <v>60+</v>
      </c>
    </row>
    <row r="340" spans="1:8" ht="15.75" customHeight="1">
      <c r="A340" s="1">
        <v>50</v>
      </c>
      <c r="B340" s="1" t="s">
        <v>10</v>
      </c>
      <c r="C340" s="1">
        <v>32.299999999999997</v>
      </c>
      <c r="D340" s="1">
        <v>1</v>
      </c>
      <c r="E340" s="1" t="s">
        <v>8</v>
      </c>
      <c r="F340" s="1" t="s">
        <v>14</v>
      </c>
      <c r="G340" s="1">
        <v>41919.097000000002</v>
      </c>
      <c r="H340" t="str">
        <f t="shared" si="5"/>
        <v>50-59</v>
      </c>
    </row>
    <row r="341" spans="1:8" ht="15.75" customHeight="1">
      <c r="A341" s="1">
        <v>46</v>
      </c>
      <c r="B341" s="1" t="s">
        <v>7</v>
      </c>
      <c r="C341" s="1">
        <v>27.72</v>
      </c>
      <c r="D341" s="1">
        <v>1</v>
      </c>
      <c r="E341" s="1" t="s">
        <v>11</v>
      </c>
      <c r="F341" s="1" t="s">
        <v>12</v>
      </c>
      <c r="G341" s="1">
        <v>8232.6388000000006</v>
      </c>
      <c r="H341" t="str">
        <f t="shared" si="5"/>
        <v>40-49</v>
      </c>
    </row>
    <row r="342" spans="1:8" ht="15.75" customHeight="1">
      <c r="A342" s="1">
        <v>24</v>
      </c>
      <c r="B342" s="1" t="s">
        <v>7</v>
      </c>
      <c r="C342" s="1">
        <v>27.6</v>
      </c>
      <c r="D342" s="1">
        <v>0</v>
      </c>
      <c r="E342" s="1" t="s">
        <v>11</v>
      </c>
      <c r="F342" s="1" t="s">
        <v>9</v>
      </c>
      <c r="G342" s="1">
        <v>18955.220170000001</v>
      </c>
      <c r="H342" t="str">
        <f t="shared" si="5"/>
        <v>18-29</v>
      </c>
    </row>
    <row r="343" spans="1:8" ht="15.75" customHeight="1">
      <c r="A343" s="1">
        <v>62</v>
      </c>
      <c r="B343" s="1" t="s">
        <v>10</v>
      </c>
      <c r="C343" s="1">
        <v>30.02</v>
      </c>
      <c r="D343" s="1">
        <v>0</v>
      </c>
      <c r="E343" s="1" t="s">
        <v>11</v>
      </c>
      <c r="F343" s="1" t="s">
        <v>13</v>
      </c>
      <c r="G343" s="1">
        <v>13352.0998</v>
      </c>
      <c r="H343" t="str">
        <f t="shared" si="5"/>
        <v>60+</v>
      </c>
    </row>
    <row r="344" spans="1:8" ht="15.75" customHeight="1">
      <c r="A344" s="1">
        <v>60</v>
      </c>
      <c r="B344" s="1" t="s">
        <v>7</v>
      </c>
      <c r="C344" s="1">
        <v>27.55</v>
      </c>
      <c r="D344" s="1">
        <v>0</v>
      </c>
      <c r="E344" s="1" t="s">
        <v>11</v>
      </c>
      <c r="F344" s="1" t="s">
        <v>14</v>
      </c>
      <c r="G344" s="1">
        <v>13217.094499999999</v>
      </c>
      <c r="H344" t="str">
        <f t="shared" si="5"/>
        <v>60+</v>
      </c>
    </row>
    <row r="345" spans="1:8" ht="15.75" customHeight="1">
      <c r="A345" s="1">
        <v>63</v>
      </c>
      <c r="B345" s="1" t="s">
        <v>10</v>
      </c>
      <c r="C345" s="1">
        <v>36.765000000000001</v>
      </c>
      <c r="D345" s="1">
        <v>0</v>
      </c>
      <c r="E345" s="1" t="s">
        <v>11</v>
      </c>
      <c r="F345" s="1" t="s">
        <v>14</v>
      </c>
      <c r="G345" s="1">
        <v>13981.850350000001</v>
      </c>
      <c r="H345" t="str">
        <f t="shared" si="5"/>
        <v>60+</v>
      </c>
    </row>
    <row r="346" spans="1:8" ht="15.75" customHeight="1">
      <c r="A346" s="1">
        <v>49</v>
      </c>
      <c r="B346" s="1" t="s">
        <v>7</v>
      </c>
      <c r="C346" s="1">
        <v>41.47</v>
      </c>
      <c r="D346" s="1">
        <v>4</v>
      </c>
      <c r="E346" s="1" t="s">
        <v>11</v>
      </c>
      <c r="F346" s="1" t="s">
        <v>12</v>
      </c>
      <c r="G346" s="1">
        <v>10977.2063</v>
      </c>
      <c r="H346" t="str">
        <f t="shared" si="5"/>
        <v>40-49</v>
      </c>
    </row>
    <row r="347" spans="1:8" ht="15.75" customHeight="1">
      <c r="A347" s="1">
        <v>34</v>
      </c>
      <c r="B347" s="1" t="s">
        <v>7</v>
      </c>
      <c r="C347" s="1">
        <v>29.26</v>
      </c>
      <c r="D347" s="1">
        <v>3</v>
      </c>
      <c r="E347" s="1" t="s">
        <v>11</v>
      </c>
      <c r="F347" s="1" t="s">
        <v>12</v>
      </c>
      <c r="G347" s="1">
        <v>6184.2993999999999</v>
      </c>
      <c r="H347" t="str">
        <f t="shared" si="5"/>
        <v>30-39</v>
      </c>
    </row>
    <row r="348" spans="1:8" ht="15.75" customHeight="1">
      <c r="A348" s="1">
        <v>33</v>
      </c>
      <c r="B348" s="1" t="s">
        <v>10</v>
      </c>
      <c r="C348" s="1">
        <v>35.75</v>
      </c>
      <c r="D348" s="1">
        <v>2</v>
      </c>
      <c r="E348" s="1" t="s">
        <v>11</v>
      </c>
      <c r="F348" s="1" t="s">
        <v>12</v>
      </c>
      <c r="G348" s="1">
        <v>4889.9994999999999</v>
      </c>
      <c r="H348" t="str">
        <f t="shared" si="5"/>
        <v>30-39</v>
      </c>
    </row>
    <row r="349" spans="1:8" ht="15.75" customHeight="1">
      <c r="A349" s="1">
        <v>46</v>
      </c>
      <c r="B349" s="1" t="s">
        <v>10</v>
      </c>
      <c r="C349" s="1">
        <v>33.344999999999999</v>
      </c>
      <c r="D349" s="1">
        <v>1</v>
      </c>
      <c r="E349" s="1" t="s">
        <v>11</v>
      </c>
      <c r="F349" s="1" t="s">
        <v>14</v>
      </c>
      <c r="G349" s="1">
        <v>8334.4575499999992</v>
      </c>
      <c r="H349" t="str">
        <f t="shared" si="5"/>
        <v>40-49</v>
      </c>
    </row>
    <row r="350" spans="1:8" ht="15.75" customHeight="1">
      <c r="A350" s="1">
        <v>36</v>
      </c>
      <c r="B350" s="1" t="s">
        <v>7</v>
      </c>
      <c r="C350" s="1">
        <v>29.92</v>
      </c>
      <c r="D350" s="1">
        <v>1</v>
      </c>
      <c r="E350" s="1" t="s">
        <v>11</v>
      </c>
      <c r="F350" s="1" t="s">
        <v>12</v>
      </c>
      <c r="G350" s="1">
        <v>5478.0367999999999</v>
      </c>
      <c r="H350" t="str">
        <f t="shared" si="5"/>
        <v>30-39</v>
      </c>
    </row>
    <row r="351" spans="1:8" ht="15.75" customHeight="1">
      <c r="A351" s="1">
        <v>19</v>
      </c>
      <c r="B351" s="1" t="s">
        <v>10</v>
      </c>
      <c r="C351" s="1">
        <v>27.835000000000001</v>
      </c>
      <c r="D351" s="1">
        <v>0</v>
      </c>
      <c r="E351" s="1" t="s">
        <v>11</v>
      </c>
      <c r="F351" s="1" t="s">
        <v>13</v>
      </c>
      <c r="G351" s="1">
        <v>1635.7336499999999</v>
      </c>
      <c r="H351" t="str">
        <f t="shared" si="5"/>
        <v>18-29</v>
      </c>
    </row>
    <row r="352" spans="1:8" ht="15.75" customHeight="1">
      <c r="A352" s="1">
        <v>57</v>
      </c>
      <c r="B352" s="1" t="s">
        <v>7</v>
      </c>
      <c r="C352" s="1">
        <v>23.18</v>
      </c>
      <c r="D352" s="1">
        <v>0</v>
      </c>
      <c r="E352" s="1" t="s">
        <v>11</v>
      </c>
      <c r="F352" s="1" t="s">
        <v>13</v>
      </c>
      <c r="G352" s="1">
        <v>11830.6072</v>
      </c>
      <c r="H352" t="str">
        <f t="shared" si="5"/>
        <v>50-59</v>
      </c>
    </row>
    <row r="353" spans="1:8" ht="15.75" customHeight="1">
      <c r="A353" s="1">
        <v>50</v>
      </c>
      <c r="B353" s="1" t="s">
        <v>7</v>
      </c>
      <c r="C353" s="1">
        <v>25.6</v>
      </c>
      <c r="D353" s="1">
        <v>0</v>
      </c>
      <c r="E353" s="1" t="s">
        <v>11</v>
      </c>
      <c r="F353" s="1" t="s">
        <v>9</v>
      </c>
      <c r="G353" s="1">
        <v>8932.0840000000007</v>
      </c>
      <c r="H353" t="str">
        <f t="shared" si="5"/>
        <v>50-59</v>
      </c>
    </row>
    <row r="354" spans="1:8" ht="15.75" customHeight="1">
      <c r="A354" s="1">
        <v>30</v>
      </c>
      <c r="B354" s="1" t="s">
        <v>7</v>
      </c>
      <c r="C354" s="1">
        <v>27.7</v>
      </c>
      <c r="D354" s="1">
        <v>0</v>
      </c>
      <c r="E354" s="1" t="s">
        <v>11</v>
      </c>
      <c r="F354" s="1" t="s">
        <v>9</v>
      </c>
      <c r="G354" s="1">
        <v>3554.203</v>
      </c>
      <c r="H354" t="str">
        <f t="shared" si="5"/>
        <v>30-39</v>
      </c>
    </row>
    <row r="355" spans="1:8" ht="15.75" customHeight="1">
      <c r="A355" s="1">
        <v>33</v>
      </c>
      <c r="B355" s="1" t="s">
        <v>10</v>
      </c>
      <c r="C355" s="1">
        <v>35.244999999999997</v>
      </c>
      <c r="D355" s="1">
        <v>0</v>
      </c>
      <c r="E355" s="1" t="s">
        <v>11</v>
      </c>
      <c r="F355" s="1" t="s">
        <v>14</v>
      </c>
      <c r="G355" s="1">
        <v>12404.8791</v>
      </c>
      <c r="H355" t="str">
        <f t="shared" si="5"/>
        <v>30-39</v>
      </c>
    </row>
    <row r="356" spans="1:8" ht="15.75" customHeight="1">
      <c r="A356" s="1">
        <v>18</v>
      </c>
      <c r="B356" s="1" t="s">
        <v>7</v>
      </c>
      <c r="C356" s="1">
        <v>38.28</v>
      </c>
      <c r="D356" s="1">
        <v>0</v>
      </c>
      <c r="E356" s="1" t="s">
        <v>11</v>
      </c>
      <c r="F356" s="1" t="s">
        <v>12</v>
      </c>
      <c r="G356" s="1">
        <v>14133.03775</v>
      </c>
      <c r="H356" t="str">
        <f t="shared" si="5"/>
        <v>18-29</v>
      </c>
    </row>
    <row r="357" spans="1:8" ht="15.75" customHeight="1">
      <c r="A357" s="1">
        <v>46</v>
      </c>
      <c r="B357" s="1" t="s">
        <v>10</v>
      </c>
      <c r="C357" s="1">
        <v>27.6</v>
      </c>
      <c r="D357" s="1">
        <v>0</v>
      </c>
      <c r="E357" s="1" t="s">
        <v>11</v>
      </c>
      <c r="F357" s="1" t="s">
        <v>9</v>
      </c>
      <c r="G357" s="1">
        <v>24603.04837</v>
      </c>
      <c r="H357" t="str">
        <f t="shared" si="5"/>
        <v>40-49</v>
      </c>
    </row>
    <row r="358" spans="1:8" ht="15.75" customHeight="1">
      <c r="A358" s="1">
        <v>46</v>
      </c>
      <c r="B358" s="1" t="s">
        <v>10</v>
      </c>
      <c r="C358" s="1">
        <v>43.89</v>
      </c>
      <c r="D358" s="1">
        <v>3</v>
      </c>
      <c r="E358" s="1" t="s">
        <v>11</v>
      </c>
      <c r="F358" s="1" t="s">
        <v>12</v>
      </c>
      <c r="G358" s="1">
        <v>8944.1151000000009</v>
      </c>
      <c r="H358" t="str">
        <f t="shared" si="5"/>
        <v>40-49</v>
      </c>
    </row>
    <row r="359" spans="1:8" ht="15.75" customHeight="1">
      <c r="A359" s="1">
        <v>47</v>
      </c>
      <c r="B359" s="1" t="s">
        <v>10</v>
      </c>
      <c r="C359" s="1">
        <v>29.83</v>
      </c>
      <c r="D359" s="1">
        <v>3</v>
      </c>
      <c r="E359" s="1" t="s">
        <v>11</v>
      </c>
      <c r="F359" s="1" t="s">
        <v>13</v>
      </c>
      <c r="G359" s="1">
        <v>9620.3307000000004</v>
      </c>
      <c r="H359" t="str">
        <f t="shared" si="5"/>
        <v>40-49</v>
      </c>
    </row>
    <row r="360" spans="1:8" ht="15.75" customHeight="1">
      <c r="A360" s="1">
        <v>23</v>
      </c>
      <c r="B360" s="1" t="s">
        <v>10</v>
      </c>
      <c r="C360" s="1">
        <v>41.91</v>
      </c>
      <c r="D360" s="1">
        <v>0</v>
      </c>
      <c r="E360" s="1" t="s">
        <v>11</v>
      </c>
      <c r="F360" s="1" t="s">
        <v>12</v>
      </c>
      <c r="G360" s="1">
        <v>1837.2819</v>
      </c>
      <c r="H360" t="str">
        <f t="shared" si="5"/>
        <v>18-29</v>
      </c>
    </row>
    <row r="361" spans="1:8" ht="15.75" customHeight="1">
      <c r="A361" s="1">
        <v>18</v>
      </c>
      <c r="B361" s="1" t="s">
        <v>7</v>
      </c>
      <c r="C361" s="1">
        <v>20.79</v>
      </c>
      <c r="D361" s="1">
        <v>0</v>
      </c>
      <c r="E361" s="1" t="s">
        <v>11</v>
      </c>
      <c r="F361" s="1" t="s">
        <v>12</v>
      </c>
      <c r="G361" s="1">
        <v>1607.5101</v>
      </c>
      <c r="H361" t="str">
        <f t="shared" si="5"/>
        <v>18-29</v>
      </c>
    </row>
    <row r="362" spans="1:8" ht="15.75" customHeight="1">
      <c r="A362" s="1">
        <v>48</v>
      </c>
      <c r="B362" s="1" t="s">
        <v>7</v>
      </c>
      <c r="C362" s="1">
        <v>32.299999999999997</v>
      </c>
      <c r="D362" s="1">
        <v>2</v>
      </c>
      <c r="E362" s="1" t="s">
        <v>11</v>
      </c>
      <c r="F362" s="1" t="s">
        <v>14</v>
      </c>
      <c r="G362" s="1">
        <v>10043.249</v>
      </c>
      <c r="H362" t="str">
        <f t="shared" si="5"/>
        <v>40-49</v>
      </c>
    </row>
    <row r="363" spans="1:8" ht="15.75" customHeight="1">
      <c r="A363" s="1">
        <v>35</v>
      </c>
      <c r="B363" s="1" t="s">
        <v>10</v>
      </c>
      <c r="C363" s="1">
        <v>30.5</v>
      </c>
      <c r="D363" s="1">
        <v>1</v>
      </c>
      <c r="E363" s="1" t="s">
        <v>11</v>
      </c>
      <c r="F363" s="1" t="s">
        <v>9</v>
      </c>
      <c r="G363" s="1">
        <v>4751.07</v>
      </c>
      <c r="H363" t="str">
        <f t="shared" si="5"/>
        <v>30-39</v>
      </c>
    </row>
    <row r="364" spans="1:8" ht="15.75" customHeight="1">
      <c r="A364" s="1">
        <v>19</v>
      </c>
      <c r="B364" s="1" t="s">
        <v>7</v>
      </c>
      <c r="C364" s="1">
        <v>21.7</v>
      </c>
      <c r="D364" s="1">
        <v>0</v>
      </c>
      <c r="E364" s="1" t="s">
        <v>8</v>
      </c>
      <c r="F364" s="1" t="s">
        <v>9</v>
      </c>
      <c r="G364" s="1">
        <v>13844.505999999999</v>
      </c>
      <c r="H364" t="str">
        <f t="shared" si="5"/>
        <v>18-29</v>
      </c>
    </row>
    <row r="365" spans="1:8" ht="15.75" customHeight="1">
      <c r="A365" s="1">
        <v>21</v>
      </c>
      <c r="B365" s="1" t="s">
        <v>7</v>
      </c>
      <c r="C365" s="1">
        <v>26.4</v>
      </c>
      <c r="D365" s="1">
        <v>1</v>
      </c>
      <c r="E365" s="1" t="s">
        <v>11</v>
      </c>
      <c r="F365" s="1" t="s">
        <v>9</v>
      </c>
      <c r="G365" s="1">
        <v>2597.779</v>
      </c>
      <c r="H365" t="str">
        <f t="shared" si="5"/>
        <v>18-29</v>
      </c>
    </row>
    <row r="366" spans="1:8" ht="15.75" customHeight="1">
      <c r="A366" s="1">
        <v>21</v>
      </c>
      <c r="B366" s="1" t="s">
        <v>7</v>
      </c>
      <c r="C366" s="1">
        <v>21.89</v>
      </c>
      <c r="D366" s="1">
        <v>2</v>
      </c>
      <c r="E366" s="1" t="s">
        <v>11</v>
      </c>
      <c r="F366" s="1" t="s">
        <v>12</v>
      </c>
      <c r="G366" s="1">
        <v>3180.5101</v>
      </c>
      <c r="H366" t="str">
        <f t="shared" si="5"/>
        <v>18-29</v>
      </c>
    </row>
    <row r="367" spans="1:8" ht="15.75" customHeight="1">
      <c r="A367" s="1">
        <v>49</v>
      </c>
      <c r="B367" s="1" t="s">
        <v>7</v>
      </c>
      <c r="C367" s="1">
        <v>30.78</v>
      </c>
      <c r="D367" s="1">
        <v>1</v>
      </c>
      <c r="E367" s="1" t="s">
        <v>11</v>
      </c>
      <c r="F367" s="1" t="s">
        <v>14</v>
      </c>
      <c r="G367" s="1">
        <v>9778.3472000000002</v>
      </c>
      <c r="H367" t="str">
        <f t="shared" si="5"/>
        <v>40-49</v>
      </c>
    </row>
    <row r="368" spans="1:8" ht="15.75" customHeight="1">
      <c r="A368" s="1">
        <v>56</v>
      </c>
      <c r="B368" s="1" t="s">
        <v>7</v>
      </c>
      <c r="C368" s="1">
        <v>32.299999999999997</v>
      </c>
      <c r="D368" s="1">
        <v>3</v>
      </c>
      <c r="E368" s="1" t="s">
        <v>11</v>
      </c>
      <c r="F368" s="1" t="s">
        <v>14</v>
      </c>
      <c r="G368" s="1">
        <v>13430.264999999999</v>
      </c>
      <c r="H368" t="str">
        <f t="shared" si="5"/>
        <v>50-59</v>
      </c>
    </row>
    <row r="369" spans="1:8" ht="15.75" customHeight="1">
      <c r="A369" s="1">
        <v>42</v>
      </c>
      <c r="B369" s="1" t="s">
        <v>7</v>
      </c>
      <c r="C369" s="1">
        <v>24.984999999999999</v>
      </c>
      <c r="D369" s="1">
        <v>2</v>
      </c>
      <c r="E369" s="1" t="s">
        <v>11</v>
      </c>
      <c r="F369" s="1" t="s">
        <v>13</v>
      </c>
      <c r="G369" s="1">
        <v>8017.0611500000005</v>
      </c>
      <c r="H369" t="str">
        <f t="shared" si="5"/>
        <v>40-49</v>
      </c>
    </row>
    <row r="370" spans="1:8" ht="15.75" customHeight="1">
      <c r="A370" s="1">
        <v>44</v>
      </c>
      <c r="B370" s="1" t="s">
        <v>10</v>
      </c>
      <c r="C370" s="1">
        <v>32.015000000000001</v>
      </c>
      <c r="D370" s="1">
        <v>2</v>
      </c>
      <c r="E370" s="1" t="s">
        <v>11</v>
      </c>
      <c r="F370" s="1" t="s">
        <v>13</v>
      </c>
      <c r="G370" s="1">
        <v>8116.2688500000004</v>
      </c>
      <c r="H370" t="str">
        <f t="shared" si="5"/>
        <v>40-49</v>
      </c>
    </row>
    <row r="371" spans="1:8" ht="15.75" customHeight="1">
      <c r="A371" s="1">
        <v>18</v>
      </c>
      <c r="B371" s="1" t="s">
        <v>10</v>
      </c>
      <c r="C371" s="1">
        <v>30.4</v>
      </c>
      <c r="D371" s="1">
        <v>3</v>
      </c>
      <c r="E371" s="1" t="s">
        <v>11</v>
      </c>
      <c r="F371" s="1" t="s">
        <v>14</v>
      </c>
      <c r="G371" s="1">
        <v>3481.8679999999999</v>
      </c>
      <c r="H371" t="str">
        <f t="shared" si="5"/>
        <v>18-29</v>
      </c>
    </row>
    <row r="372" spans="1:8" ht="15.75" customHeight="1">
      <c r="A372" s="1">
        <v>61</v>
      </c>
      <c r="B372" s="1" t="s">
        <v>7</v>
      </c>
      <c r="C372" s="1">
        <v>21.09</v>
      </c>
      <c r="D372" s="1">
        <v>0</v>
      </c>
      <c r="E372" s="1" t="s">
        <v>11</v>
      </c>
      <c r="F372" s="1" t="s">
        <v>13</v>
      </c>
      <c r="G372" s="1">
        <v>13415.0381</v>
      </c>
      <c r="H372" t="str">
        <f t="shared" si="5"/>
        <v>60+</v>
      </c>
    </row>
    <row r="373" spans="1:8" ht="15.75" customHeight="1">
      <c r="A373" s="1">
        <v>57</v>
      </c>
      <c r="B373" s="1" t="s">
        <v>7</v>
      </c>
      <c r="C373" s="1">
        <v>22.23</v>
      </c>
      <c r="D373" s="1">
        <v>0</v>
      </c>
      <c r="E373" s="1" t="s">
        <v>11</v>
      </c>
      <c r="F373" s="1" t="s">
        <v>14</v>
      </c>
      <c r="G373" s="1">
        <v>12029.286700000001</v>
      </c>
      <c r="H373" t="str">
        <f t="shared" si="5"/>
        <v>50-59</v>
      </c>
    </row>
    <row r="374" spans="1:8" ht="15.75" customHeight="1">
      <c r="A374" s="1">
        <v>42</v>
      </c>
      <c r="B374" s="1" t="s">
        <v>7</v>
      </c>
      <c r="C374" s="1">
        <v>33.155000000000001</v>
      </c>
      <c r="D374" s="1">
        <v>1</v>
      </c>
      <c r="E374" s="1" t="s">
        <v>11</v>
      </c>
      <c r="F374" s="1" t="s">
        <v>14</v>
      </c>
      <c r="G374" s="1">
        <v>7639.4174499999999</v>
      </c>
      <c r="H374" t="str">
        <f t="shared" si="5"/>
        <v>40-49</v>
      </c>
    </row>
    <row r="375" spans="1:8" ht="15.75" customHeight="1">
      <c r="A375" s="1">
        <v>26</v>
      </c>
      <c r="B375" s="1" t="s">
        <v>10</v>
      </c>
      <c r="C375" s="1">
        <v>32.9</v>
      </c>
      <c r="D375" s="1">
        <v>2</v>
      </c>
      <c r="E375" s="1" t="s">
        <v>8</v>
      </c>
      <c r="F375" s="1" t="s">
        <v>9</v>
      </c>
      <c r="G375" s="1">
        <v>36085.218999999997</v>
      </c>
      <c r="H375" t="str">
        <f t="shared" si="5"/>
        <v>18-29</v>
      </c>
    </row>
    <row r="376" spans="1:8" ht="15.75" customHeight="1">
      <c r="A376" s="1">
        <v>20</v>
      </c>
      <c r="B376" s="1" t="s">
        <v>10</v>
      </c>
      <c r="C376" s="1">
        <v>33.33</v>
      </c>
      <c r="D376" s="1">
        <v>0</v>
      </c>
      <c r="E376" s="1" t="s">
        <v>11</v>
      </c>
      <c r="F376" s="1" t="s">
        <v>12</v>
      </c>
      <c r="G376" s="1">
        <v>1391.5287000000001</v>
      </c>
      <c r="H376" t="str">
        <f t="shared" si="5"/>
        <v>18-29</v>
      </c>
    </row>
    <row r="377" spans="1:8" ht="15.75" customHeight="1">
      <c r="A377" s="1">
        <v>23</v>
      </c>
      <c r="B377" s="1" t="s">
        <v>7</v>
      </c>
      <c r="C377" s="1">
        <v>28.31</v>
      </c>
      <c r="D377" s="1">
        <v>0</v>
      </c>
      <c r="E377" s="1" t="s">
        <v>8</v>
      </c>
      <c r="F377" s="1" t="s">
        <v>13</v>
      </c>
      <c r="G377" s="1">
        <v>18033.9679</v>
      </c>
      <c r="H377" t="str">
        <f t="shared" si="5"/>
        <v>18-29</v>
      </c>
    </row>
    <row r="378" spans="1:8" ht="15.75" customHeight="1">
      <c r="A378" s="1">
        <v>39</v>
      </c>
      <c r="B378" s="1" t="s">
        <v>7</v>
      </c>
      <c r="C378" s="1">
        <v>24.89</v>
      </c>
      <c r="D378" s="1">
        <v>3</v>
      </c>
      <c r="E378" s="1" t="s">
        <v>8</v>
      </c>
      <c r="F378" s="1" t="s">
        <v>14</v>
      </c>
      <c r="G378" s="1">
        <v>21659.930100000001</v>
      </c>
      <c r="H378" t="str">
        <f t="shared" si="5"/>
        <v>30-39</v>
      </c>
    </row>
    <row r="379" spans="1:8" ht="15.75" customHeight="1">
      <c r="A379" s="1">
        <v>24</v>
      </c>
      <c r="B379" s="1" t="s">
        <v>10</v>
      </c>
      <c r="C379" s="1">
        <v>40.15</v>
      </c>
      <c r="D379" s="1">
        <v>0</v>
      </c>
      <c r="E379" s="1" t="s">
        <v>8</v>
      </c>
      <c r="F379" s="1" t="s">
        <v>12</v>
      </c>
      <c r="G379" s="1">
        <v>38126.246500000001</v>
      </c>
      <c r="H379" t="str">
        <f t="shared" si="5"/>
        <v>18-29</v>
      </c>
    </row>
    <row r="380" spans="1:8" ht="15.75" customHeight="1">
      <c r="A380" s="1">
        <v>64</v>
      </c>
      <c r="B380" s="1" t="s">
        <v>7</v>
      </c>
      <c r="C380" s="1">
        <v>30.114999999999998</v>
      </c>
      <c r="D380" s="1">
        <v>3</v>
      </c>
      <c r="E380" s="1" t="s">
        <v>11</v>
      </c>
      <c r="F380" s="1" t="s">
        <v>13</v>
      </c>
      <c r="G380" s="1">
        <v>16455.707849999999</v>
      </c>
      <c r="H380" t="str">
        <f t="shared" si="5"/>
        <v>60+</v>
      </c>
    </row>
    <row r="381" spans="1:8" ht="15.75" customHeight="1">
      <c r="A381" s="1">
        <v>62</v>
      </c>
      <c r="B381" s="1" t="s">
        <v>10</v>
      </c>
      <c r="C381" s="1">
        <v>31.46</v>
      </c>
      <c r="D381" s="1">
        <v>1</v>
      </c>
      <c r="E381" s="1" t="s">
        <v>11</v>
      </c>
      <c r="F381" s="1" t="s">
        <v>12</v>
      </c>
      <c r="G381" s="1">
        <v>27000.98473</v>
      </c>
      <c r="H381" t="str">
        <f t="shared" si="5"/>
        <v>60+</v>
      </c>
    </row>
    <row r="382" spans="1:8" ht="15.75" customHeight="1">
      <c r="A382" s="1">
        <v>27</v>
      </c>
      <c r="B382" s="1" t="s">
        <v>7</v>
      </c>
      <c r="C382" s="1">
        <v>17.954999999999998</v>
      </c>
      <c r="D382" s="1">
        <v>2</v>
      </c>
      <c r="E382" s="1" t="s">
        <v>8</v>
      </c>
      <c r="F382" s="1" t="s">
        <v>14</v>
      </c>
      <c r="G382" s="1">
        <v>15006.579449999999</v>
      </c>
      <c r="H382" t="str">
        <f t="shared" si="5"/>
        <v>18-29</v>
      </c>
    </row>
    <row r="383" spans="1:8" ht="15.75" customHeight="1">
      <c r="A383" s="1">
        <v>55</v>
      </c>
      <c r="B383" s="1" t="s">
        <v>10</v>
      </c>
      <c r="C383" s="1">
        <v>30.684999999999999</v>
      </c>
      <c r="D383" s="1">
        <v>0</v>
      </c>
      <c r="E383" s="1" t="s">
        <v>8</v>
      </c>
      <c r="F383" s="1" t="s">
        <v>14</v>
      </c>
      <c r="G383" s="1">
        <v>42303.692150000003</v>
      </c>
      <c r="H383" t="str">
        <f t="shared" si="5"/>
        <v>50-59</v>
      </c>
    </row>
    <row r="384" spans="1:8" ht="15.75" customHeight="1">
      <c r="A384" s="1">
        <v>55</v>
      </c>
      <c r="B384" s="1" t="s">
        <v>10</v>
      </c>
      <c r="C384" s="1">
        <v>33</v>
      </c>
      <c r="D384" s="1">
        <v>0</v>
      </c>
      <c r="E384" s="1" t="s">
        <v>11</v>
      </c>
      <c r="F384" s="1" t="s">
        <v>12</v>
      </c>
      <c r="G384" s="1">
        <v>20781.48892</v>
      </c>
      <c r="H384" t="str">
        <f t="shared" si="5"/>
        <v>50-59</v>
      </c>
    </row>
    <row r="385" spans="1:8" ht="15.75" customHeight="1">
      <c r="A385" s="1">
        <v>35</v>
      </c>
      <c r="B385" s="1" t="s">
        <v>7</v>
      </c>
      <c r="C385" s="1">
        <v>43.34</v>
      </c>
      <c r="D385" s="1">
        <v>2</v>
      </c>
      <c r="E385" s="1" t="s">
        <v>11</v>
      </c>
      <c r="F385" s="1" t="s">
        <v>12</v>
      </c>
      <c r="G385" s="1">
        <v>5846.9175999999998</v>
      </c>
      <c r="H385" t="str">
        <f t="shared" si="5"/>
        <v>30-39</v>
      </c>
    </row>
    <row r="386" spans="1:8" ht="15.75" customHeight="1">
      <c r="A386" s="1">
        <v>44</v>
      </c>
      <c r="B386" s="1" t="s">
        <v>10</v>
      </c>
      <c r="C386" s="1">
        <v>22.135000000000002</v>
      </c>
      <c r="D386" s="1">
        <v>2</v>
      </c>
      <c r="E386" s="1" t="s">
        <v>11</v>
      </c>
      <c r="F386" s="1" t="s">
        <v>14</v>
      </c>
      <c r="G386" s="1">
        <v>8302.5356499999998</v>
      </c>
      <c r="H386" t="str">
        <f t="shared" si="5"/>
        <v>40-49</v>
      </c>
    </row>
    <row r="387" spans="1:8" ht="15.75" customHeight="1">
      <c r="A387" s="1">
        <v>19</v>
      </c>
      <c r="B387" s="1" t="s">
        <v>10</v>
      </c>
      <c r="C387" s="1">
        <v>34.4</v>
      </c>
      <c r="D387" s="1">
        <v>0</v>
      </c>
      <c r="E387" s="1" t="s">
        <v>11</v>
      </c>
      <c r="F387" s="1" t="s">
        <v>9</v>
      </c>
      <c r="G387" s="1">
        <v>1261.8589999999999</v>
      </c>
      <c r="H387" t="str">
        <f t="shared" ref="H387:H450" si="6">IF(A387&lt;30,"18-29",IF(A387&lt;40,"30-39",IF(A387&lt;50,"40-49",IF(A387&lt;60,"50-59","60+"))))</f>
        <v>18-29</v>
      </c>
    </row>
    <row r="388" spans="1:8" ht="15.75" customHeight="1">
      <c r="A388" s="1">
        <v>58</v>
      </c>
      <c r="B388" s="1" t="s">
        <v>7</v>
      </c>
      <c r="C388" s="1">
        <v>39.049999999999997</v>
      </c>
      <c r="D388" s="1">
        <v>0</v>
      </c>
      <c r="E388" s="1" t="s">
        <v>11</v>
      </c>
      <c r="F388" s="1" t="s">
        <v>12</v>
      </c>
      <c r="G388" s="1">
        <v>11856.4115</v>
      </c>
      <c r="H388" t="str">
        <f t="shared" si="6"/>
        <v>50-59</v>
      </c>
    </row>
    <row r="389" spans="1:8" ht="15.75" customHeight="1">
      <c r="A389" s="1">
        <v>50</v>
      </c>
      <c r="B389" s="1" t="s">
        <v>10</v>
      </c>
      <c r="C389" s="1">
        <v>25.364999999999998</v>
      </c>
      <c r="D389" s="1">
        <v>2</v>
      </c>
      <c r="E389" s="1" t="s">
        <v>11</v>
      </c>
      <c r="F389" s="1" t="s">
        <v>13</v>
      </c>
      <c r="G389" s="1">
        <v>30284.642940000002</v>
      </c>
      <c r="H389" t="str">
        <f t="shared" si="6"/>
        <v>50-59</v>
      </c>
    </row>
    <row r="390" spans="1:8" ht="15.75" customHeight="1">
      <c r="A390" s="1">
        <v>26</v>
      </c>
      <c r="B390" s="1" t="s">
        <v>7</v>
      </c>
      <c r="C390" s="1">
        <v>22.61</v>
      </c>
      <c r="D390" s="1">
        <v>0</v>
      </c>
      <c r="E390" s="1" t="s">
        <v>11</v>
      </c>
      <c r="F390" s="1" t="s">
        <v>13</v>
      </c>
      <c r="G390" s="1">
        <v>3176.8159000000001</v>
      </c>
      <c r="H390" t="str">
        <f t="shared" si="6"/>
        <v>18-29</v>
      </c>
    </row>
    <row r="391" spans="1:8" ht="15.75" customHeight="1">
      <c r="A391" s="1">
        <v>24</v>
      </c>
      <c r="B391" s="1" t="s">
        <v>7</v>
      </c>
      <c r="C391" s="1">
        <v>30.21</v>
      </c>
      <c r="D391" s="1">
        <v>3</v>
      </c>
      <c r="E391" s="1" t="s">
        <v>11</v>
      </c>
      <c r="F391" s="1" t="s">
        <v>13</v>
      </c>
      <c r="G391" s="1">
        <v>4618.0798999999997</v>
      </c>
      <c r="H391" t="str">
        <f t="shared" si="6"/>
        <v>18-29</v>
      </c>
    </row>
    <row r="392" spans="1:8" ht="15.75" customHeight="1">
      <c r="A392" s="1">
        <v>48</v>
      </c>
      <c r="B392" s="1" t="s">
        <v>10</v>
      </c>
      <c r="C392" s="1">
        <v>35.625</v>
      </c>
      <c r="D392" s="1">
        <v>4</v>
      </c>
      <c r="E392" s="1" t="s">
        <v>11</v>
      </c>
      <c r="F392" s="1" t="s">
        <v>14</v>
      </c>
      <c r="G392" s="1">
        <v>10736.87075</v>
      </c>
      <c r="H392" t="str">
        <f t="shared" si="6"/>
        <v>40-49</v>
      </c>
    </row>
    <row r="393" spans="1:8" ht="15.75" customHeight="1">
      <c r="A393" s="1">
        <v>19</v>
      </c>
      <c r="B393" s="1" t="s">
        <v>7</v>
      </c>
      <c r="C393" s="1">
        <v>37.43</v>
      </c>
      <c r="D393" s="1">
        <v>0</v>
      </c>
      <c r="E393" s="1" t="s">
        <v>11</v>
      </c>
      <c r="F393" s="1" t="s">
        <v>13</v>
      </c>
      <c r="G393" s="1">
        <v>2138.0707000000002</v>
      </c>
      <c r="H393" t="str">
        <f t="shared" si="6"/>
        <v>18-29</v>
      </c>
    </row>
    <row r="394" spans="1:8" ht="15.75" customHeight="1">
      <c r="A394" s="1">
        <v>48</v>
      </c>
      <c r="B394" s="1" t="s">
        <v>10</v>
      </c>
      <c r="C394" s="1">
        <v>31.445</v>
      </c>
      <c r="D394" s="1">
        <v>1</v>
      </c>
      <c r="E394" s="1" t="s">
        <v>11</v>
      </c>
      <c r="F394" s="1" t="s">
        <v>14</v>
      </c>
      <c r="G394" s="1">
        <v>8964.0605500000001</v>
      </c>
      <c r="H394" t="str">
        <f t="shared" si="6"/>
        <v>40-49</v>
      </c>
    </row>
    <row r="395" spans="1:8" ht="15.75" customHeight="1">
      <c r="A395" s="1">
        <v>49</v>
      </c>
      <c r="B395" s="1" t="s">
        <v>10</v>
      </c>
      <c r="C395" s="1">
        <v>31.35</v>
      </c>
      <c r="D395" s="1">
        <v>1</v>
      </c>
      <c r="E395" s="1" t="s">
        <v>11</v>
      </c>
      <c r="F395" s="1" t="s">
        <v>14</v>
      </c>
      <c r="G395" s="1">
        <v>9290.1394999999993</v>
      </c>
      <c r="H395" t="str">
        <f t="shared" si="6"/>
        <v>40-49</v>
      </c>
    </row>
    <row r="396" spans="1:8" ht="15.75" customHeight="1">
      <c r="A396" s="1">
        <v>46</v>
      </c>
      <c r="B396" s="1" t="s">
        <v>7</v>
      </c>
      <c r="C396" s="1">
        <v>32.299999999999997</v>
      </c>
      <c r="D396" s="1">
        <v>2</v>
      </c>
      <c r="E396" s="1" t="s">
        <v>11</v>
      </c>
      <c r="F396" s="1" t="s">
        <v>14</v>
      </c>
      <c r="G396" s="1">
        <v>9411.0049999999992</v>
      </c>
      <c r="H396" t="str">
        <f t="shared" si="6"/>
        <v>40-49</v>
      </c>
    </row>
    <row r="397" spans="1:8" ht="15.75" customHeight="1">
      <c r="A397" s="1">
        <v>46</v>
      </c>
      <c r="B397" s="1" t="s">
        <v>10</v>
      </c>
      <c r="C397" s="1">
        <v>19.855</v>
      </c>
      <c r="D397" s="1">
        <v>0</v>
      </c>
      <c r="E397" s="1" t="s">
        <v>11</v>
      </c>
      <c r="F397" s="1" t="s">
        <v>13</v>
      </c>
      <c r="G397" s="1">
        <v>7526.7064499999997</v>
      </c>
      <c r="H397" t="str">
        <f t="shared" si="6"/>
        <v>40-49</v>
      </c>
    </row>
    <row r="398" spans="1:8" ht="15.75" customHeight="1">
      <c r="A398" s="1">
        <v>43</v>
      </c>
      <c r="B398" s="1" t="s">
        <v>7</v>
      </c>
      <c r="C398" s="1">
        <v>34.4</v>
      </c>
      <c r="D398" s="1">
        <v>3</v>
      </c>
      <c r="E398" s="1" t="s">
        <v>11</v>
      </c>
      <c r="F398" s="1" t="s">
        <v>9</v>
      </c>
      <c r="G398" s="1">
        <v>8522.0030000000006</v>
      </c>
      <c r="H398" t="str">
        <f t="shared" si="6"/>
        <v>40-49</v>
      </c>
    </row>
    <row r="399" spans="1:8" ht="15.75" customHeight="1">
      <c r="A399" s="1">
        <v>21</v>
      </c>
      <c r="B399" s="1" t="s">
        <v>10</v>
      </c>
      <c r="C399" s="1">
        <v>31.02</v>
      </c>
      <c r="D399" s="1">
        <v>0</v>
      </c>
      <c r="E399" s="1" t="s">
        <v>11</v>
      </c>
      <c r="F399" s="1" t="s">
        <v>12</v>
      </c>
      <c r="G399" s="1">
        <v>16586.49771</v>
      </c>
      <c r="H399" t="str">
        <f t="shared" si="6"/>
        <v>18-29</v>
      </c>
    </row>
    <row r="400" spans="1:8" ht="15.75" customHeight="1">
      <c r="A400" s="1">
        <v>64</v>
      </c>
      <c r="B400" s="1" t="s">
        <v>10</v>
      </c>
      <c r="C400" s="1">
        <v>25.6</v>
      </c>
      <c r="D400" s="1">
        <v>2</v>
      </c>
      <c r="E400" s="1" t="s">
        <v>11</v>
      </c>
      <c r="F400" s="1" t="s">
        <v>9</v>
      </c>
      <c r="G400" s="1">
        <v>14988.432000000001</v>
      </c>
      <c r="H400" t="str">
        <f t="shared" si="6"/>
        <v>60+</v>
      </c>
    </row>
    <row r="401" spans="1:8" ht="15.75" customHeight="1">
      <c r="A401" s="1">
        <v>18</v>
      </c>
      <c r="B401" s="1" t="s">
        <v>7</v>
      </c>
      <c r="C401" s="1">
        <v>38.17</v>
      </c>
      <c r="D401" s="1">
        <v>0</v>
      </c>
      <c r="E401" s="1" t="s">
        <v>11</v>
      </c>
      <c r="F401" s="1" t="s">
        <v>12</v>
      </c>
      <c r="G401" s="1">
        <v>1631.6683</v>
      </c>
      <c r="H401" t="str">
        <f t="shared" si="6"/>
        <v>18-29</v>
      </c>
    </row>
    <row r="402" spans="1:8" ht="15.75" customHeight="1">
      <c r="A402" s="1">
        <v>51</v>
      </c>
      <c r="B402" s="1" t="s">
        <v>7</v>
      </c>
      <c r="C402" s="1">
        <v>20.6</v>
      </c>
      <c r="D402" s="1">
        <v>0</v>
      </c>
      <c r="E402" s="1" t="s">
        <v>11</v>
      </c>
      <c r="F402" s="1" t="s">
        <v>9</v>
      </c>
      <c r="G402" s="1">
        <v>9264.7970000000005</v>
      </c>
      <c r="H402" t="str">
        <f t="shared" si="6"/>
        <v>50-59</v>
      </c>
    </row>
    <row r="403" spans="1:8" ht="15.75" customHeight="1">
      <c r="A403" s="1">
        <v>47</v>
      </c>
      <c r="B403" s="1" t="s">
        <v>10</v>
      </c>
      <c r="C403" s="1">
        <v>47.52</v>
      </c>
      <c r="D403" s="1">
        <v>1</v>
      </c>
      <c r="E403" s="1" t="s">
        <v>11</v>
      </c>
      <c r="F403" s="1" t="s">
        <v>12</v>
      </c>
      <c r="G403" s="1">
        <v>8083.9197999999997</v>
      </c>
      <c r="H403" t="str">
        <f t="shared" si="6"/>
        <v>40-49</v>
      </c>
    </row>
    <row r="404" spans="1:8" ht="15.75" customHeight="1">
      <c r="A404" s="1">
        <v>64</v>
      </c>
      <c r="B404" s="1" t="s">
        <v>7</v>
      </c>
      <c r="C404" s="1">
        <v>32.965000000000003</v>
      </c>
      <c r="D404" s="1">
        <v>0</v>
      </c>
      <c r="E404" s="1" t="s">
        <v>11</v>
      </c>
      <c r="F404" s="1" t="s">
        <v>13</v>
      </c>
      <c r="G404" s="1">
        <v>14692.66935</v>
      </c>
      <c r="H404" t="str">
        <f t="shared" si="6"/>
        <v>60+</v>
      </c>
    </row>
    <row r="405" spans="1:8" ht="15.75" customHeight="1">
      <c r="A405" s="1">
        <v>49</v>
      </c>
      <c r="B405" s="1" t="s">
        <v>10</v>
      </c>
      <c r="C405" s="1">
        <v>32.299999999999997</v>
      </c>
      <c r="D405" s="1">
        <v>3</v>
      </c>
      <c r="E405" s="1" t="s">
        <v>11</v>
      </c>
      <c r="F405" s="1" t="s">
        <v>13</v>
      </c>
      <c r="G405" s="1">
        <v>10269.459999999999</v>
      </c>
      <c r="H405" t="str">
        <f t="shared" si="6"/>
        <v>40-49</v>
      </c>
    </row>
    <row r="406" spans="1:8" ht="15.75" customHeight="1">
      <c r="A406" s="1">
        <v>31</v>
      </c>
      <c r="B406" s="1" t="s">
        <v>10</v>
      </c>
      <c r="C406" s="1">
        <v>20.399999999999999</v>
      </c>
      <c r="D406" s="1">
        <v>0</v>
      </c>
      <c r="E406" s="1" t="s">
        <v>11</v>
      </c>
      <c r="F406" s="1" t="s">
        <v>9</v>
      </c>
      <c r="G406" s="1">
        <v>3260.1990000000001</v>
      </c>
      <c r="H406" t="str">
        <f t="shared" si="6"/>
        <v>30-39</v>
      </c>
    </row>
    <row r="407" spans="1:8" ht="15.75" customHeight="1">
      <c r="A407" s="1">
        <v>52</v>
      </c>
      <c r="B407" s="1" t="s">
        <v>7</v>
      </c>
      <c r="C407" s="1">
        <v>38.380000000000003</v>
      </c>
      <c r="D407" s="1">
        <v>2</v>
      </c>
      <c r="E407" s="1" t="s">
        <v>11</v>
      </c>
      <c r="F407" s="1" t="s">
        <v>14</v>
      </c>
      <c r="G407" s="1">
        <v>11396.9002</v>
      </c>
      <c r="H407" t="str">
        <f t="shared" si="6"/>
        <v>50-59</v>
      </c>
    </row>
    <row r="408" spans="1:8" ht="15.75" customHeight="1">
      <c r="A408" s="1">
        <v>33</v>
      </c>
      <c r="B408" s="1" t="s">
        <v>7</v>
      </c>
      <c r="C408" s="1">
        <v>24.31</v>
      </c>
      <c r="D408" s="1">
        <v>0</v>
      </c>
      <c r="E408" s="1" t="s">
        <v>11</v>
      </c>
      <c r="F408" s="1" t="s">
        <v>12</v>
      </c>
      <c r="G408" s="1">
        <v>4185.0978999999998</v>
      </c>
      <c r="H408" t="str">
        <f t="shared" si="6"/>
        <v>30-39</v>
      </c>
    </row>
    <row r="409" spans="1:8" ht="15.75" customHeight="1">
      <c r="A409" s="1">
        <v>47</v>
      </c>
      <c r="B409" s="1" t="s">
        <v>7</v>
      </c>
      <c r="C409" s="1">
        <v>23.6</v>
      </c>
      <c r="D409" s="1">
        <v>1</v>
      </c>
      <c r="E409" s="1" t="s">
        <v>11</v>
      </c>
      <c r="F409" s="1" t="s">
        <v>9</v>
      </c>
      <c r="G409" s="1">
        <v>8539.6710000000003</v>
      </c>
      <c r="H409" t="str">
        <f t="shared" si="6"/>
        <v>40-49</v>
      </c>
    </row>
    <row r="410" spans="1:8" ht="15.75" customHeight="1">
      <c r="A410" s="1">
        <v>38</v>
      </c>
      <c r="B410" s="1" t="s">
        <v>10</v>
      </c>
      <c r="C410" s="1">
        <v>21.12</v>
      </c>
      <c r="D410" s="1">
        <v>3</v>
      </c>
      <c r="E410" s="1" t="s">
        <v>11</v>
      </c>
      <c r="F410" s="1" t="s">
        <v>12</v>
      </c>
      <c r="G410" s="1">
        <v>6652.5288</v>
      </c>
      <c r="H410" t="str">
        <f t="shared" si="6"/>
        <v>30-39</v>
      </c>
    </row>
    <row r="411" spans="1:8" ht="15.75" customHeight="1">
      <c r="A411" s="1">
        <v>32</v>
      </c>
      <c r="B411" s="1" t="s">
        <v>10</v>
      </c>
      <c r="C411" s="1">
        <v>30.03</v>
      </c>
      <c r="D411" s="1">
        <v>1</v>
      </c>
      <c r="E411" s="1" t="s">
        <v>11</v>
      </c>
      <c r="F411" s="1" t="s">
        <v>12</v>
      </c>
      <c r="G411" s="1">
        <v>4074.4537</v>
      </c>
      <c r="H411" t="str">
        <f t="shared" si="6"/>
        <v>30-39</v>
      </c>
    </row>
    <row r="412" spans="1:8" ht="15.75" customHeight="1">
      <c r="A412" s="1">
        <v>19</v>
      </c>
      <c r="B412" s="1" t="s">
        <v>10</v>
      </c>
      <c r="C412" s="1">
        <v>17.48</v>
      </c>
      <c r="D412" s="1">
        <v>0</v>
      </c>
      <c r="E412" s="1" t="s">
        <v>11</v>
      </c>
      <c r="F412" s="1" t="s">
        <v>13</v>
      </c>
      <c r="G412" s="1">
        <v>1621.3402000000001</v>
      </c>
      <c r="H412" t="str">
        <f t="shared" si="6"/>
        <v>18-29</v>
      </c>
    </row>
    <row r="413" spans="1:8" ht="15.75" customHeight="1">
      <c r="A413" s="1">
        <v>44</v>
      </c>
      <c r="B413" s="1" t="s">
        <v>7</v>
      </c>
      <c r="C413" s="1">
        <v>20.234999999999999</v>
      </c>
      <c r="D413" s="1">
        <v>1</v>
      </c>
      <c r="E413" s="1" t="s">
        <v>8</v>
      </c>
      <c r="F413" s="1" t="s">
        <v>14</v>
      </c>
      <c r="G413" s="1">
        <v>19594.809649999999</v>
      </c>
      <c r="H413" t="str">
        <f t="shared" si="6"/>
        <v>40-49</v>
      </c>
    </row>
    <row r="414" spans="1:8" ht="15.75" customHeight="1">
      <c r="A414" s="1">
        <v>26</v>
      </c>
      <c r="B414" s="1" t="s">
        <v>7</v>
      </c>
      <c r="C414" s="1">
        <v>17.195</v>
      </c>
      <c r="D414" s="1">
        <v>2</v>
      </c>
      <c r="E414" s="1" t="s">
        <v>8</v>
      </c>
      <c r="F414" s="1" t="s">
        <v>14</v>
      </c>
      <c r="G414" s="1">
        <v>14455.644050000001</v>
      </c>
      <c r="H414" t="str">
        <f t="shared" si="6"/>
        <v>18-29</v>
      </c>
    </row>
    <row r="415" spans="1:8" ht="15.75" customHeight="1">
      <c r="A415" s="1">
        <v>25</v>
      </c>
      <c r="B415" s="1" t="s">
        <v>10</v>
      </c>
      <c r="C415" s="1">
        <v>23.9</v>
      </c>
      <c r="D415" s="1">
        <v>5</v>
      </c>
      <c r="E415" s="1" t="s">
        <v>11</v>
      </c>
      <c r="F415" s="1" t="s">
        <v>9</v>
      </c>
      <c r="G415" s="1">
        <v>5080.0959999999995</v>
      </c>
      <c r="H415" t="str">
        <f t="shared" si="6"/>
        <v>18-29</v>
      </c>
    </row>
    <row r="416" spans="1:8" ht="15.75" customHeight="1">
      <c r="A416" s="1">
        <v>19</v>
      </c>
      <c r="B416" s="1" t="s">
        <v>7</v>
      </c>
      <c r="C416" s="1">
        <v>35.15</v>
      </c>
      <c r="D416" s="1">
        <v>0</v>
      </c>
      <c r="E416" s="1" t="s">
        <v>11</v>
      </c>
      <c r="F416" s="1" t="s">
        <v>13</v>
      </c>
      <c r="G416" s="1">
        <v>2134.9014999999999</v>
      </c>
      <c r="H416" t="str">
        <f t="shared" si="6"/>
        <v>18-29</v>
      </c>
    </row>
    <row r="417" spans="1:8" ht="15.75" customHeight="1">
      <c r="A417" s="1">
        <v>43</v>
      </c>
      <c r="B417" s="1" t="s">
        <v>7</v>
      </c>
      <c r="C417" s="1">
        <v>35.64</v>
      </c>
      <c r="D417" s="1">
        <v>1</v>
      </c>
      <c r="E417" s="1" t="s">
        <v>11</v>
      </c>
      <c r="F417" s="1" t="s">
        <v>12</v>
      </c>
      <c r="G417" s="1">
        <v>7345.7266</v>
      </c>
      <c r="H417" t="str">
        <f t="shared" si="6"/>
        <v>40-49</v>
      </c>
    </row>
    <row r="418" spans="1:8" ht="15.75" customHeight="1">
      <c r="A418" s="1">
        <v>52</v>
      </c>
      <c r="B418" s="1" t="s">
        <v>10</v>
      </c>
      <c r="C418" s="1">
        <v>34.1</v>
      </c>
      <c r="D418" s="1">
        <v>0</v>
      </c>
      <c r="E418" s="1" t="s">
        <v>11</v>
      </c>
      <c r="F418" s="1" t="s">
        <v>12</v>
      </c>
      <c r="G418" s="1">
        <v>9140.9509999999991</v>
      </c>
      <c r="H418" t="str">
        <f t="shared" si="6"/>
        <v>50-59</v>
      </c>
    </row>
    <row r="419" spans="1:8" ht="15.75" customHeight="1">
      <c r="A419" s="1">
        <v>36</v>
      </c>
      <c r="B419" s="1" t="s">
        <v>7</v>
      </c>
      <c r="C419" s="1">
        <v>22.6</v>
      </c>
      <c r="D419" s="1">
        <v>2</v>
      </c>
      <c r="E419" s="1" t="s">
        <v>8</v>
      </c>
      <c r="F419" s="1" t="s">
        <v>9</v>
      </c>
      <c r="G419" s="1">
        <v>18608.261999999999</v>
      </c>
      <c r="H419" t="str">
        <f t="shared" si="6"/>
        <v>30-39</v>
      </c>
    </row>
    <row r="420" spans="1:8" ht="15.75" customHeight="1">
      <c r="A420" s="1">
        <v>64</v>
      </c>
      <c r="B420" s="1" t="s">
        <v>10</v>
      </c>
      <c r="C420" s="1">
        <v>39.159999999999997</v>
      </c>
      <c r="D420" s="1">
        <v>1</v>
      </c>
      <c r="E420" s="1" t="s">
        <v>11</v>
      </c>
      <c r="F420" s="1" t="s">
        <v>12</v>
      </c>
      <c r="G420" s="1">
        <v>14418.2804</v>
      </c>
      <c r="H420" t="str">
        <f t="shared" si="6"/>
        <v>60+</v>
      </c>
    </row>
    <row r="421" spans="1:8" ht="15.75" customHeight="1">
      <c r="A421" s="1">
        <v>63</v>
      </c>
      <c r="B421" s="1" t="s">
        <v>7</v>
      </c>
      <c r="C421" s="1">
        <v>26.98</v>
      </c>
      <c r="D421" s="1">
        <v>0</v>
      </c>
      <c r="E421" s="1" t="s">
        <v>8</v>
      </c>
      <c r="F421" s="1" t="s">
        <v>13</v>
      </c>
      <c r="G421" s="1">
        <v>28950.4692</v>
      </c>
      <c r="H421" t="str">
        <f t="shared" si="6"/>
        <v>60+</v>
      </c>
    </row>
    <row r="422" spans="1:8" ht="15.75" customHeight="1">
      <c r="A422" s="1">
        <v>64</v>
      </c>
      <c r="B422" s="1" t="s">
        <v>10</v>
      </c>
      <c r="C422" s="1">
        <v>33.880000000000003</v>
      </c>
      <c r="D422" s="1">
        <v>0</v>
      </c>
      <c r="E422" s="1" t="s">
        <v>8</v>
      </c>
      <c r="F422" s="1" t="s">
        <v>12</v>
      </c>
      <c r="G422" s="1">
        <v>46889.261200000001</v>
      </c>
      <c r="H422" t="str">
        <f t="shared" si="6"/>
        <v>60+</v>
      </c>
    </row>
    <row r="423" spans="1:8" ht="15.75" customHeight="1">
      <c r="A423" s="1">
        <v>61</v>
      </c>
      <c r="B423" s="1" t="s">
        <v>10</v>
      </c>
      <c r="C423" s="1">
        <v>35.86</v>
      </c>
      <c r="D423" s="1">
        <v>0</v>
      </c>
      <c r="E423" s="1" t="s">
        <v>8</v>
      </c>
      <c r="F423" s="1" t="s">
        <v>12</v>
      </c>
      <c r="G423" s="1">
        <v>46599.108399999997</v>
      </c>
      <c r="H423" t="str">
        <f t="shared" si="6"/>
        <v>60+</v>
      </c>
    </row>
    <row r="424" spans="1:8" ht="15.75" customHeight="1">
      <c r="A424" s="1">
        <v>40</v>
      </c>
      <c r="B424" s="1" t="s">
        <v>10</v>
      </c>
      <c r="C424" s="1">
        <v>32.774999999999999</v>
      </c>
      <c r="D424" s="1">
        <v>1</v>
      </c>
      <c r="E424" s="1" t="s">
        <v>8</v>
      </c>
      <c r="F424" s="1" t="s">
        <v>14</v>
      </c>
      <c r="G424" s="1">
        <v>39125.332249999999</v>
      </c>
      <c r="H424" t="str">
        <f t="shared" si="6"/>
        <v>40-49</v>
      </c>
    </row>
    <row r="425" spans="1:8" ht="15.75" customHeight="1">
      <c r="A425" s="1">
        <v>25</v>
      </c>
      <c r="B425" s="1" t="s">
        <v>10</v>
      </c>
      <c r="C425" s="1">
        <v>30.59</v>
      </c>
      <c r="D425" s="1">
        <v>0</v>
      </c>
      <c r="E425" s="1" t="s">
        <v>11</v>
      </c>
      <c r="F425" s="1" t="s">
        <v>14</v>
      </c>
      <c r="G425" s="1">
        <v>2727.3951000000002</v>
      </c>
      <c r="H425" t="str">
        <f t="shared" si="6"/>
        <v>18-29</v>
      </c>
    </row>
    <row r="426" spans="1:8" ht="15.75" customHeight="1">
      <c r="A426" s="1">
        <v>48</v>
      </c>
      <c r="B426" s="1" t="s">
        <v>10</v>
      </c>
      <c r="C426" s="1">
        <v>30.2</v>
      </c>
      <c r="D426" s="1">
        <v>2</v>
      </c>
      <c r="E426" s="1" t="s">
        <v>11</v>
      </c>
      <c r="F426" s="1" t="s">
        <v>9</v>
      </c>
      <c r="G426" s="1">
        <v>8968.33</v>
      </c>
      <c r="H426" t="str">
        <f t="shared" si="6"/>
        <v>40-49</v>
      </c>
    </row>
    <row r="427" spans="1:8" ht="15.75" customHeight="1">
      <c r="A427" s="1">
        <v>45</v>
      </c>
      <c r="B427" s="1" t="s">
        <v>10</v>
      </c>
      <c r="C427" s="1">
        <v>24.31</v>
      </c>
      <c r="D427" s="1">
        <v>5</v>
      </c>
      <c r="E427" s="1" t="s">
        <v>11</v>
      </c>
      <c r="F427" s="1" t="s">
        <v>12</v>
      </c>
      <c r="G427" s="1">
        <v>9788.8659000000007</v>
      </c>
      <c r="H427" t="str">
        <f t="shared" si="6"/>
        <v>40-49</v>
      </c>
    </row>
    <row r="428" spans="1:8" ht="15.75" customHeight="1">
      <c r="A428" s="1">
        <v>38</v>
      </c>
      <c r="B428" s="1" t="s">
        <v>7</v>
      </c>
      <c r="C428" s="1">
        <v>27.265000000000001</v>
      </c>
      <c r="D428" s="1">
        <v>1</v>
      </c>
      <c r="E428" s="1" t="s">
        <v>11</v>
      </c>
      <c r="F428" s="1" t="s">
        <v>14</v>
      </c>
      <c r="G428" s="1">
        <v>6555.07035</v>
      </c>
      <c r="H428" t="str">
        <f t="shared" si="6"/>
        <v>30-39</v>
      </c>
    </row>
    <row r="429" spans="1:8" ht="15.75" customHeight="1">
      <c r="A429" s="1">
        <v>18</v>
      </c>
      <c r="B429" s="1" t="s">
        <v>7</v>
      </c>
      <c r="C429" s="1">
        <v>29.164999999999999</v>
      </c>
      <c r="D429" s="1">
        <v>0</v>
      </c>
      <c r="E429" s="1" t="s">
        <v>11</v>
      </c>
      <c r="F429" s="1" t="s">
        <v>14</v>
      </c>
      <c r="G429" s="1">
        <v>7323.7348190000002</v>
      </c>
      <c r="H429" t="str">
        <f t="shared" si="6"/>
        <v>18-29</v>
      </c>
    </row>
    <row r="430" spans="1:8" ht="15.75" customHeight="1">
      <c r="A430" s="1">
        <v>21</v>
      </c>
      <c r="B430" s="1" t="s">
        <v>7</v>
      </c>
      <c r="C430" s="1">
        <v>16.815000000000001</v>
      </c>
      <c r="D430" s="1">
        <v>1</v>
      </c>
      <c r="E430" s="1" t="s">
        <v>11</v>
      </c>
      <c r="F430" s="1" t="s">
        <v>14</v>
      </c>
      <c r="G430" s="1">
        <v>3167.4558499999998</v>
      </c>
      <c r="H430" t="str">
        <f t="shared" si="6"/>
        <v>18-29</v>
      </c>
    </row>
    <row r="431" spans="1:8" ht="15.75" customHeight="1">
      <c r="A431" s="1">
        <v>27</v>
      </c>
      <c r="B431" s="1" t="s">
        <v>7</v>
      </c>
      <c r="C431" s="1">
        <v>30.4</v>
      </c>
      <c r="D431" s="1">
        <v>3</v>
      </c>
      <c r="E431" s="1" t="s">
        <v>11</v>
      </c>
      <c r="F431" s="1" t="s">
        <v>13</v>
      </c>
      <c r="G431" s="1">
        <v>18804.752400000001</v>
      </c>
      <c r="H431" t="str">
        <f t="shared" si="6"/>
        <v>18-29</v>
      </c>
    </row>
    <row r="432" spans="1:8" ht="15.75" customHeight="1">
      <c r="A432" s="1">
        <v>19</v>
      </c>
      <c r="B432" s="1" t="s">
        <v>10</v>
      </c>
      <c r="C432" s="1">
        <v>33.1</v>
      </c>
      <c r="D432" s="1">
        <v>0</v>
      </c>
      <c r="E432" s="1" t="s">
        <v>11</v>
      </c>
      <c r="F432" s="1" t="s">
        <v>9</v>
      </c>
      <c r="G432" s="1">
        <v>23082.955330000001</v>
      </c>
      <c r="H432" t="str">
        <f t="shared" si="6"/>
        <v>18-29</v>
      </c>
    </row>
    <row r="433" spans="1:8" ht="15.75" customHeight="1">
      <c r="A433" s="1">
        <v>29</v>
      </c>
      <c r="B433" s="1" t="s">
        <v>7</v>
      </c>
      <c r="C433" s="1">
        <v>20.234999999999999</v>
      </c>
      <c r="D433" s="1">
        <v>2</v>
      </c>
      <c r="E433" s="1" t="s">
        <v>11</v>
      </c>
      <c r="F433" s="1" t="s">
        <v>13</v>
      </c>
      <c r="G433" s="1">
        <v>4906.4096499999996</v>
      </c>
      <c r="H433" t="str">
        <f t="shared" si="6"/>
        <v>18-29</v>
      </c>
    </row>
    <row r="434" spans="1:8" ht="15.75" customHeight="1">
      <c r="A434" s="1">
        <v>42</v>
      </c>
      <c r="B434" s="1" t="s">
        <v>10</v>
      </c>
      <c r="C434" s="1">
        <v>26.9</v>
      </c>
      <c r="D434" s="1">
        <v>0</v>
      </c>
      <c r="E434" s="1" t="s">
        <v>11</v>
      </c>
      <c r="F434" s="1" t="s">
        <v>9</v>
      </c>
      <c r="G434" s="1">
        <v>5969.723</v>
      </c>
      <c r="H434" t="str">
        <f t="shared" si="6"/>
        <v>40-49</v>
      </c>
    </row>
    <row r="435" spans="1:8" ht="15.75" customHeight="1">
      <c r="A435" s="1">
        <v>60</v>
      </c>
      <c r="B435" s="1" t="s">
        <v>7</v>
      </c>
      <c r="C435" s="1">
        <v>30.5</v>
      </c>
      <c r="D435" s="1">
        <v>0</v>
      </c>
      <c r="E435" s="1" t="s">
        <v>11</v>
      </c>
      <c r="F435" s="1" t="s">
        <v>9</v>
      </c>
      <c r="G435" s="1">
        <v>12638.195</v>
      </c>
      <c r="H435" t="str">
        <f t="shared" si="6"/>
        <v>60+</v>
      </c>
    </row>
    <row r="436" spans="1:8" ht="15.75" customHeight="1">
      <c r="A436" s="1">
        <v>31</v>
      </c>
      <c r="B436" s="1" t="s">
        <v>10</v>
      </c>
      <c r="C436" s="1">
        <v>28.594999999999999</v>
      </c>
      <c r="D436" s="1">
        <v>1</v>
      </c>
      <c r="E436" s="1" t="s">
        <v>11</v>
      </c>
      <c r="F436" s="1" t="s">
        <v>13</v>
      </c>
      <c r="G436" s="1">
        <v>4243.5900499999998</v>
      </c>
      <c r="H436" t="str">
        <f t="shared" si="6"/>
        <v>30-39</v>
      </c>
    </row>
    <row r="437" spans="1:8" ht="15.75" customHeight="1">
      <c r="A437" s="1">
        <v>60</v>
      </c>
      <c r="B437" s="1" t="s">
        <v>10</v>
      </c>
      <c r="C437" s="1">
        <v>33.11</v>
      </c>
      <c r="D437" s="1">
        <v>3</v>
      </c>
      <c r="E437" s="1" t="s">
        <v>11</v>
      </c>
      <c r="F437" s="1" t="s">
        <v>12</v>
      </c>
      <c r="G437" s="1">
        <v>13919.822899999999</v>
      </c>
      <c r="H437" t="str">
        <f t="shared" si="6"/>
        <v>60+</v>
      </c>
    </row>
    <row r="438" spans="1:8" ht="15.75" customHeight="1">
      <c r="A438" s="1">
        <v>22</v>
      </c>
      <c r="B438" s="1" t="s">
        <v>10</v>
      </c>
      <c r="C438" s="1">
        <v>31.73</v>
      </c>
      <c r="D438" s="1">
        <v>0</v>
      </c>
      <c r="E438" s="1" t="s">
        <v>11</v>
      </c>
      <c r="F438" s="1" t="s">
        <v>14</v>
      </c>
      <c r="G438" s="1">
        <v>2254.7966999999999</v>
      </c>
      <c r="H438" t="str">
        <f t="shared" si="6"/>
        <v>18-29</v>
      </c>
    </row>
    <row r="439" spans="1:8" ht="15.75" customHeight="1">
      <c r="A439" s="1">
        <v>35</v>
      </c>
      <c r="B439" s="1" t="s">
        <v>10</v>
      </c>
      <c r="C439" s="1">
        <v>28.9</v>
      </c>
      <c r="D439" s="1">
        <v>3</v>
      </c>
      <c r="E439" s="1" t="s">
        <v>11</v>
      </c>
      <c r="F439" s="1" t="s">
        <v>9</v>
      </c>
      <c r="G439" s="1">
        <v>5926.8459999999995</v>
      </c>
      <c r="H439" t="str">
        <f t="shared" si="6"/>
        <v>30-39</v>
      </c>
    </row>
    <row r="440" spans="1:8" ht="15.75" customHeight="1">
      <c r="A440" s="1">
        <v>52</v>
      </c>
      <c r="B440" s="1" t="s">
        <v>7</v>
      </c>
      <c r="C440" s="1">
        <v>46.75</v>
      </c>
      <c r="D440" s="1">
        <v>5</v>
      </c>
      <c r="E440" s="1" t="s">
        <v>11</v>
      </c>
      <c r="F440" s="1" t="s">
        <v>12</v>
      </c>
      <c r="G440" s="1">
        <v>12592.5345</v>
      </c>
      <c r="H440" t="str">
        <f t="shared" si="6"/>
        <v>50-59</v>
      </c>
    </row>
    <row r="441" spans="1:8" ht="15.75" customHeight="1">
      <c r="A441" s="1">
        <v>26</v>
      </c>
      <c r="B441" s="1" t="s">
        <v>10</v>
      </c>
      <c r="C441" s="1">
        <v>29.45</v>
      </c>
      <c r="D441" s="1">
        <v>0</v>
      </c>
      <c r="E441" s="1" t="s">
        <v>11</v>
      </c>
      <c r="F441" s="1" t="s">
        <v>14</v>
      </c>
      <c r="G441" s="1">
        <v>2897.3235</v>
      </c>
      <c r="H441" t="str">
        <f t="shared" si="6"/>
        <v>18-29</v>
      </c>
    </row>
    <row r="442" spans="1:8" ht="15.75" customHeight="1">
      <c r="A442" s="1">
        <v>31</v>
      </c>
      <c r="B442" s="1" t="s">
        <v>7</v>
      </c>
      <c r="C442" s="1">
        <v>32.68</v>
      </c>
      <c r="D442" s="1">
        <v>1</v>
      </c>
      <c r="E442" s="1" t="s">
        <v>11</v>
      </c>
      <c r="F442" s="1" t="s">
        <v>13</v>
      </c>
      <c r="G442" s="1">
        <v>4738.2682000000004</v>
      </c>
      <c r="H442" t="str">
        <f t="shared" si="6"/>
        <v>30-39</v>
      </c>
    </row>
    <row r="443" spans="1:8" ht="15.75" customHeight="1">
      <c r="A443" s="1">
        <v>33</v>
      </c>
      <c r="B443" s="1" t="s">
        <v>7</v>
      </c>
      <c r="C443" s="1">
        <v>33.5</v>
      </c>
      <c r="D443" s="1">
        <v>0</v>
      </c>
      <c r="E443" s="1" t="s">
        <v>8</v>
      </c>
      <c r="F443" s="1" t="s">
        <v>9</v>
      </c>
      <c r="G443" s="1">
        <v>37079.372000000003</v>
      </c>
      <c r="H443" t="str">
        <f t="shared" si="6"/>
        <v>30-39</v>
      </c>
    </row>
    <row r="444" spans="1:8" ht="15.75" customHeight="1">
      <c r="A444" s="1">
        <v>18</v>
      </c>
      <c r="B444" s="1" t="s">
        <v>10</v>
      </c>
      <c r="C444" s="1">
        <v>43.01</v>
      </c>
      <c r="D444" s="1">
        <v>0</v>
      </c>
      <c r="E444" s="1" t="s">
        <v>11</v>
      </c>
      <c r="F444" s="1" t="s">
        <v>12</v>
      </c>
      <c r="G444" s="1">
        <v>1149.3959</v>
      </c>
      <c r="H444" t="str">
        <f t="shared" si="6"/>
        <v>18-29</v>
      </c>
    </row>
    <row r="445" spans="1:8" ht="15.75" customHeight="1">
      <c r="A445" s="1">
        <v>59</v>
      </c>
      <c r="B445" s="1" t="s">
        <v>7</v>
      </c>
      <c r="C445" s="1">
        <v>36.520000000000003</v>
      </c>
      <c r="D445" s="1">
        <v>1</v>
      </c>
      <c r="E445" s="1" t="s">
        <v>11</v>
      </c>
      <c r="F445" s="1" t="s">
        <v>12</v>
      </c>
      <c r="G445" s="1">
        <v>28287.897659999999</v>
      </c>
      <c r="H445" t="str">
        <f t="shared" si="6"/>
        <v>50-59</v>
      </c>
    </row>
    <row r="446" spans="1:8" ht="15.75" customHeight="1">
      <c r="A446" s="1">
        <v>56</v>
      </c>
      <c r="B446" s="1" t="s">
        <v>10</v>
      </c>
      <c r="C446" s="1">
        <v>26.695</v>
      </c>
      <c r="D446" s="1">
        <v>1</v>
      </c>
      <c r="E446" s="1" t="s">
        <v>8</v>
      </c>
      <c r="F446" s="1" t="s">
        <v>13</v>
      </c>
      <c r="G446" s="1">
        <v>26109.32905</v>
      </c>
      <c r="H446" t="str">
        <f t="shared" si="6"/>
        <v>50-59</v>
      </c>
    </row>
    <row r="447" spans="1:8" ht="15.75" customHeight="1">
      <c r="A447" s="1">
        <v>45</v>
      </c>
      <c r="B447" s="1" t="s">
        <v>7</v>
      </c>
      <c r="C447" s="1">
        <v>33.1</v>
      </c>
      <c r="D447" s="1">
        <v>0</v>
      </c>
      <c r="E447" s="1" t="s">
        <v>11</v>
      </c>
      <c r="F447" s="1" t="s">
        <v>9</v>
      </c>
      <c r="G447" s="1">
        <v>7345.0839999999998</v>
      </c>
      <c r="H447" t="str">
        <f t="shared" si="6"/>
        <v>40-49</v>
      </c>
    </row>
    <row r="448" spans="1:8" ht="15.75" customHeight="1">
      <c r="A448" s="1">
        <v>60</v>
      </c>
      <c r="B448" s="1" t="s">
        <v>10</v>
      </c>
      <c r="C448" s="1">
        <v>29.64</v>
      </c>
      <c r="D448" s="1">
        <v>0</v>
      </c>
      <c r="E448" s="1" t="s">
        <v>11</v>
      </c>
      <c r="F448" s="1" t="s">
        <v>14</v>
      </c>
      <c r="G448" s="1">
        <v>12730.999599999999</v>
      </c>
      <c r="H448" t="str">
        <f t="shared" si="6"/>
        <v>60+</v>
      </c>
    </row>
    <row r="449" spans="1:8" ht="15.75" customHeight="1">
      <c r="A449" s="1">
        <v>56</v>
      </c>
      <c r="B449" s="1" t="s">
        <v>7</v>
      </c>
      <c r="C449" s="1">
        <v>25.65</v>
      </c>
      <c r="D449" s="1">
        <v>0</v>
      </c>
      <c r="E449" s="1" t="s">
        <v>11</v>
      </c>
      <c r="F449" s="1" t="s">
        <v>13</v>
      </c>
      <c r="G449" s="1">
        <v>11454.021500000001</v>
      </c>
      <c r="H449" t="str">
        <f t="shared" si="6"/>
        <v>50-59</v>
      </c>
    </row>
    <row r="450" spans="1:8" ht="15.75" customHeight="1">
      <c r="A450" s="1">
        <v>40</v>
      </c>
      <c r="B450" s="1" t="s">
        <v>7</v>
      </c>
      <c r="C450" s="1">
        <v>29.6</v>
      </c>
      <c r="D450" s="1">
        <v>0</v>
      </c>
      <c r="E450" s="1" t="s">
        <v>11</v>
      </c>
      <c r="F450" s="1" t="s">
        <v>9</v>
      </c>
      <c r="G450" s="1">
        <v>5910.9440000000004</v>
      </c>
      <c r="H450" t="str">
        <f t="shared" si="6"/>
        <v>40-49</v>
      </c>
    </row>
    <row r="451" spans="1:8" ht="15.75" customHeight="1">
      <c r="A451" s="1">
        <v>35</v>
      </c>
      <c r="B451" s="1" t="s">
        <v>10</v>
      </c>
      <c r="C451" s="1">
        <v>38.6</v>
      </c>
      <c r="D451" s="1">
        <v>1</v>
      </c>
      <c r="E451" s="1" t="s">
        <v>11</v>
      </c>
      <c r="F451" s="1" t="s">
        <v>9</v>
      </c>
      <c r="G451" s="1">
        <v>4762.3289999999997</v>
      </c>
      <c r="H451" t="str">
        <f t="shared" ref="H451:H514" si="7">IF(A451&lt;30,"18-29",IF(A451&lt;40,"30-39",IF(A451&lt;50,"40-49",IF(A451&lt;60,"50-59","60+"))))</f>
        <v>30-39</v>
      </c>
    </row>
    <row r="452" spans="1:8" ht="15.75" customHeight="1">
      <c r="A452" s="1">
        <v>39</v>
      </c>
      <c r="B452" s="1" t="s">
        <v>10</v>
      </c>
      <c r="C452" s="1">
        <v>29.6</v>
      </c>
      <c r="D452" s="1">
        <v>4</v>
      </c>
      <c r="E452" s="1" t="s">
        <v>11</v>
      </c>
      <c r="F452" s="1" t="s">
        <v>9</v>
      </c>
      <c r="G452" s="1">
        <v>7512.2669999999998</v>
      </c>
      <c r="H452" t="str">
        <f t="shared" si="7"/>
        <v>30-39</v>
      </c>
    </row>
    <row r="453" spans="1:8" ht="15.75" customHeight="1">
      <c r="A453" s="1">
        <v>30</v>
      </c>
      <c r="B453" s="1" t="s">
        <v>10</v>
      </c>
      <c r="C453" s="1">
        <v>24.13</v>
      </c>
      <c r="D453" s="1">
        <v>1</v>
      </c>
      <c r="E453" s="1" t="s">
        <v>11</v>
      </c>
      <c r="F453" s="1" t="s">
        <v>13</v>
      </c>
      <c r="G453" s="1">
        <v>4032.2406999999998</v>
      </c>
      <c r="H453" t="str">
        <f t="shared" si="7"/>
        <v>30-39</v>
      </c>
    </row>
    <row r="454" spans="1:8" ht="15.75" customHeight="1">
      <c r="A454" s="1">
        <v>24</v>
      </c>
      <c r="B454" s="1" t="s">
        <v>10</v>
      </c>
      <c r="C454" s="1">
        <v>23.4</v>
      </c>
      <c r="D454" s="1">
        <v>0</v>
      </c>
      <c r="E454" s="1" t="s">
        <v>11</v>
      </c>
      <c r="F454" s="1" t="s">
        <v>9</v>
      </c>
      <c r="G454" s="1">
        <v>1969.614</v>
      </c>
      <c r="H454" t="str">
        <f t="shared" si="7"/>
        <v>18-29</v>
      </c>
    </row>
    <row r="455" spans="1:8" ht="15.75" customHeight="1">
      <c r="A455" s="1">
        <v>20</v>
      </c>
      <c r="B455" s="1" t="s">
        <v>10</v>
      </c>
      <c r="C455" s="1">
        <v>29.734999999999999</v>
      </c>
      <c r="D455" s="1">
        <v>0</v>
      </c>
      <c r="E455" s="1" t="s">
        <v>11</v>
      </c>
      <c r="F455" s="1" t="s">
        <v>13</v>
      </c>
      <c r="G455" s="1">
        <v>1769.5316499999999</v>
      </c>
      <c r="H455" t="str">
        <f t="shared" si="7"/>
        <v>18-29</v>
      </c>
    </row>
    <row r="456" spans="1:8" ht="15.75" customHeight="1">
      <c r="A456" s="1">
        <v>32</v>
      </c>
      <c r="B456" s="1" t="s">
        <v>10</v>
      </c>
      <c r="C456" s="1">
        <v>46.53</v>
      </c>
      <c r="D456" s="1">
        <v>2</v>
      </c>
      <c r="E456" s="1" t="s">
        <v>11</v>
      </c>
      <c r="F456" s="1" t="s">
        <v>12</v>
      </c>
      <c r="G456" s="1">
        <v>4686.3887000000004</v>
      </c>
      <c r="H456" t="str">
        <f t="shared" si="7"/>
        <v>30-39</v>
      </c>
    </row>
    <row r="457" spans="1:8" ht="15.75" customHeight="1">
      <c r="A457" s="1">
        <v>59</v>
      </c>
      <c r="B457" s="1" t="s">
        <v>10</v>
      </c>
      <c r="C457" s="1">
        <v>37.4</v>
      </c>
      <c r="D457" s="1">
        <v>0</v>
      </c>
      <c r="E457" s="1" t="s">
        <v>11</v>
      </c>
      <c r="F457" s="1" t="s">
        <v>9</v>
      </c>
      <c r="G457" s="1">
        <v>21797.000400000001</v>
      </c>
      <c r="H457" t="str">
        <f t="shared" si="7"/>
        <v>50-59</v>
      </c>
    </row>
    <row r="458" spans="1:8" ht="15.75" customHeight="1">
      <c r="A458" s="1">
        <v>55</v>
      </c>
      <c r="B458" s="1" t="s">
        <v>7</v>
      </c>
      <c r="C458" s="1">
        <v>30.14</v>
      </c>
      <c r="D458" s="1">
        <v>2</v>
      </c>
      <c r="E458" s="1" t="s">
        <v>11</v>
      </c>
      <c r="F458" s="1" t="s">
        <v>12</v>
      </c>
      <c r="G458" s="1">
        <v>11881.9696</v>
      </c>
      <c r="H458" t="str">
        <f t="shared" si="7"/>
        <v>50-59</v>
      </c>
    </row>
    <row r="459" spans="1:8" ht="15.75" customHeight="1">
      <c r="A459" s="1">
        <v>57</v>
      </c>
      <c r="B459" s="1" t="s">
        <v>7</v>
      </c>
      <c r="C459" s="1">
        <v>30.495000000000001</v>
      </c>
      <c r="D459" s="1">
        <v>0</v>
      </c>
      <c r="E459" s="1" t="s">
        <v>11</v>
      </c>
      <c r="F459" s="1" t="s">
        <v>13</v>
      </c>
      <c r="G459" s="1">
        <v>11840.77505</v>
      </c>
      <c r="H459" t="str">
        <f t="shared" si="7"/>
        <v>50-59</v>
      </c>
    </row>
    <row r="460" spans="1:8" ht="15.75" customHeight="1">
      <c r="A460" s="1">
        <v>56</v>
      </c>
      <c r="B460" s="1" t="s">
        <v>10</v>
      </c>
      <c r="C460" s="1">
        <v>39.6</v>
      </c>
      <c r="D460" s="1">
        <v>0</v>
      </c>
      <c r="E460" s="1" t="s">
        <v>11</v>
      </c>
      <c r="F460" s="1" t="s">
        <v>9</v>
      </c>
      <c r="G460" s="1">
        <v>10601.412</v>
      </c>
      <c r="H460" t="str">
        <f t="shared" si="7"/>
        <v>50-59</v>
      </c>
    </row>
    <row r="461" spans="1:8" ht="15.75" customHeight="1">
      <c r="A461" s="1">
        <v>40</v>
      </c>
      <c r="B461" s="1" t="s">
        <v>7</v>
      </c>
      <c r="C461" s="1">
        <v>33</v>
      </c>
      <c r="D461" s="1">
        <v>3</v>
      </c>
      <c r="E461" s="1" t="s">
        <v>11</v>
      </c>
      <c r="F461" s="1" t="s">
        <v>12</v>
      </c>
      <c r="G461" s="1">
        <v>7682.67</v>
      </c>
      <c r="H461" t="str">
        <f t="shared" si="7"/>
        <v>40-49</v>
      </c>
    </row>
    <row r="462" spans="1:8" ht="15.75" customHeight="1">
      <c r="A462" s="1">
        <v>49</v>
      </c>
      <c r="B462" s="1" t="s">
        <v>7</v>
      </c>
      <c r="C462" s="1">
        <v>36.630000000000003</v>
      </c>
      <c r="D462" s="1">
        <v>3</v>
      </c>
      <c r="E462" s="1" t="s">
        <v>11</v>
      </c>
      <c r="F462" s="1" t="s">
        <v>12</v>
      </c>
      <c r="G462" s="1">
        <v>10381.4787</v>
      </c>
      <c r="H462" t="str">
        <f t="shared" si="7"/>
        <v>40-49</v>
      </c>
    </row>
    <row r="463" spans="1:8" ht="15.75" customHeight="1">
      <c r="A463" s="1">
        <v>42</v>
      </c>
      <c r="B463" s="1" t="s">
        <v>10</v>
      </c>
      <c r="C463" s="1">
        <v>30</v>
      </c>
      <c r="D463" s="1">
        <v>0</v>
      </c>
      <c r="E463" s="1" t="s">
        <v>8</v>
      </c>
      <c r="F463" s="1" t="s">
        <v>9</v>
      </c>
      <c r="G463" s="1">
        <v>22144.031999999999</v>
      </c>
      <c r="H463" t="str">
        <f t="shared" si="7"/>
        <v>40-49</v>
      </c>
    </row>
    <row r="464" spans="1:8" ht="15.75" customHeight="1">
      <c r="A464" s="1">
        <v>62</v>
      </c>
      <c r="B464" s="1" t="s">
        <v>7</v>
      </c>
      <c r="C464" s="1">
        <v>38.094999999999999</v>
      </c>
      <c r="D464" s="1">
        <v>2</v>
      </c>
      <c r="E464" s="1" t="s">
        <v>11</v>
      </c>
      <c r="F464" s="1" t="s">
        <v>14</v>
      </c>
      <c r="G464" s="1">
        <v>15230.324049999999</v>
      </c>
      <c r="H464" t="str">
        <f t="shared" si="7"/>
        <v>60+</v>
      </c>
    </row>
    <row r="465" spans="1:8" ht="15.75" customHeight="1">
      <c r="A465" s="1">
        <v>56</v>
      </c>
      <c r="B465" s="1" t="s">
        <v>10</v>
      </c>
      <c r="C465" s="1">
        <v>25.934999999999999</v>
      </c>
      <c r="D465" s="1">
        <v>0</v>
      </c>
      <c r="E465" s="1" t="s">
        <v>11</v>
      </c>
      <c r="F465" s="1" t="s">
        <v>14</v>
      </c>
      <c r="G465" s="1">
        <v>11165.417649999999</v>
      </c>
      <c r="H465" t="str">
        <f t="shared" si="7"/>
        <v>50-59</v>
      </c>
    </row>
    <row r="466" spans="1:8" ht="15.75" customHeight="1">
      <c r="A466" s="1">
        <v>19</v>
      </c>
      <c r="B466" s="1" t="s">
        <v>10</v>
      </c>
      <c r="C466" s="1">
        <v>25.175000000000001</v>
      </c>
      <c r="D466" s="1">
        <v>0</v>
      </c>
      <c r="E466" s="1" t="s">
        <v>11</v>
      </c>
      <c r="F466" s="1" t="s">
        <v>13</v>
      </c>
      <c r="G466" s="1">
        <v>1632.0362500000001</v>
      </c>
      <c r="H466" t="str">
        <f t="shared" si="7"/>
        <v>18-29</v>
      </c>
    </row>
    <row r="467" spans="1:8" ht="15.75" customHeight="1">
      <c r="A467" s="1">
        <v>30</v>
      </c>
      <c r="B467" s="1" t="s">
        <v>7</v>
      </c>
      <c r="C467" s="1">
        <v>28.38</v>
      </c>
      <c r="D467" s="1">
        <v>1</v>
      </c>
      <c r="E467" s="1" t="s">
        <v>8</v>
      </c>
      <c r="F467" s="1" t="s">
        <v>12</v>
      </c>
      <c r="G467" s="1">
        <v>19521.968199999999</v>
      </c>
      <c r="H467" t="str">
        <f t="shared" si="7"/>
        <v>30-39</v>
      </c>
    </row>
    <row r="468" spans="1:8" ht="15.75" customHeight="1">
      <c r="A468" s="1">
        <v>60</v>
      </c>
      <c r="B468" s="1" t="s">
        <v>7</v>
      </c>
      <c r="C468" s="1">
        <v>28.7</v>
      </c>
      <c r="D468" s="1">
        <v>1</v>
      </c>
      <c r="E468" s="1" t="s">
        <v>11</v>
      </c>
      <c r="F468" s="1" t="s">
        <v>9</v>
      </c>
      <c r="G468" s="1">
        <v>13224.692999999999</v>
      </c>
      <c r="H468" t="str">
        <f t="shared" si="7"/>
        <v>60+</v>
      </c>
    </row>
    <row r="469" spans="1:8" ht="15.75" customHeight="1">
      <c r="A469" s="1">
        <v>56</v>
      </c>
      <c r="B469" s="1" t="s">
        <v>7</v>
      </c>
      <c r="C469" s="1">
        <v>33.82</v>
      </c>
      <c r="D469" s="1">
        <v>2</v>
      </c>
      <c r="E469" s="1" t="s">
        <v>11</v>
      </c>
      <c r="F469" s="1" t="s">
        <v>13</v>
      </c>
      <c r="G469" s="1">
        <v>12643.3778</v>
      </c>
      <c r="H469" t="str">
        <f t="shared" si="7"/>
        <v>50-59</v>
      </c>
    </row>
    <row r="470" spans="1:8" ht="15.75" customHeight="1">
      <c r="A470" s="1">
        <v>28</v>
      </c>
      <c r="B470" s="1" t="s">
        <v>7</v>
      </c>
      <c r="C470" s="1">
        <v>24.32</v>
      </c>
      <c r="D470" s="1">
        <v>1</v>
      </c>
      <c r="E470" s="1" t="s">
        <v>11</v>
      </c>
      <c r="F470" s="1" t="s">
        <v>14</v>
      </c>
      <c r="G470" s="1">
        <v>23288.928400000001</v>
      </c>
      <c r="H470" t="str">
        <f t="shared" si="7"/>
        <v>18-29</v>
      </c>
    </row>
    <row r="471" spans="1:8" ht="15.75" customHeight="1">
      <c r="A471" s="1">
        <v>18</v>
      </c>
      <c r="B471" s="1" t="s">
        <v>7</v>
      </c>
      <c r="C471" s="1">
        <v>24.09</v>
      </c>
      <c r="D471" s="1">
        <v>1</v>
      </c>
      <c r="E471" s="1" t="s">
        <v>11</v>
      </c>
      <c r="F471" s="1" t="s">
        <v>12</v>
      </c>
      <c r="G471" s="1">
        <v>2201.0971</v>
      </c>
      <c r="H471" t="str">
        <f t="shared" si="7"/>
        <v>18-29</v>
      </c>
    </row>
    <row r="472" spans="1:8" ht="15.75" customHeight="1">
      <c r="A472" s="1">
        <v>27</v>
      </c>
      <c r="B472" s="1" t="s">
        <v>10</v>
      </c>
      <c r="C472" s="1">
        <v>32.67</v>
      </c>
      <c r="D472" s="1">
        <v>0</v>
      </c>
      <c r="E472" s="1" t="s">
        <v>11</v>
      </c>
      <c r="F472" s="1" t="s">
        <v>12</v>
      </c>
      <c r="G472" s="1">
        <v>2497.0383000000002</v>
      </c>
      <c r="H472" t="str">
        <f t="shared" si="7"/>
        <v>18-29</v>
      </c>
    </row>
    <row r="473" spans="1:8" ht="15.75" customHeight="1">
      <c r="A473" s="1">
        <v>18</v>
      </c>
      <c r="B473" s="1" t="s">
        <v>7</v>
      </c>
      <c r="C473" s="1">
        <v>30.114999999999998</v>
      </c>
      <c r="D473" s="1">
        <v>0</v>
      </c>
      <c r="E473" s="1" t="s">
        <v>11</v>
      </c>
      <c r="F473" s="1" t="s">
        <v>14</v>
      </c>
      <c r="G473" s="1">
        <v>2203.4718499999999</v>
      </c>
      <c r="H473" t="str">
        <f t="shared" si="7"/>
        <v>18-29</v>
      </c>
    </row>
    <row r="474" spans="1:8" ht="15.75" customHeight="1">
      <c r="A474" s="1">
        <v>19</v>
      </c>
      <c r="B474" s="1" t="s">
        <v>7</v>
      </c>
      <c r="C474" s="1">
        <v>29.8</v>
      </c>
      <c r="D474" s="1">
        <v>0</v>
      </c>
      <c r="E474" s="1" t="s">
        <v>11</v>
      </c>
      <c r="F474" s="1" t="s">
        <v>9</v>
      </c>
      <c r="G474" s="1">
        <v>1744.4649999999999</v>
      </c>
      <c r="H474" t="str">
        <f t="shared" si="7"/>
        <v>18-29</v>
      </c>
    </row>
    <row r="475" spans="1:8" ht="15.75" customHeight="1">
      <c r="A475" s="1">
        <v>47</v>
      </c>
      <c r="B475" s="1" t="s">
        <v>7</v>
      </c>
      <c r="C475" s="1">
        <v>33.344999999999999</v>
      </c>
      <c r="D475" s="1">
        <v>0</v>
      </c>
      <c r="E475" s="1" t="s">
        <v>11</v>
      </c>
      <c r="F475" s="1" t="s">
        <v>14</v>
      </c>
      <c r="G475" s="1">
        <v>20878.78443</v>
      </c>
      <c r="H475" t="str">
        <f t="shared" si="7"/>
        <v>40-49</v>
      </c>
    </row>
    <row r="476" spans="1:8" ht="15.75" customHeight="1">
      <c r="A476" s="1">
        <v>54</v>
      </c>
      <c r="B476" s="1" t="s">
        <v>10</v>
      </c>
      <c r="C476" s="1">
        <v>25.1</v>
      </c>
      <c r="D476" s="1">
        <v>3</v>
      </c>
      <c r="E476" s="1" t="s">
        <v>8</v>
      </c>
      <c r="F476" s="1" t="s">
        <v>9</v>
      </c>
      <c r="G476" s="1">
        <v>25382.296999999999</v>
      </c>
      <c r="H476" t="str">
        <f t="shared" si="7"/>
        <v>50-59</v>
      </c>
    </row>
    <row r="477" spans="1:8" ht="15.75" customHeight="1">
      <c r="A477" s="1">
        <v>61</v>
      </c>
      <c r="B477" s="1" t="s">
        <v>10</v>
      </c>
      <c r="C477" s="1">
        <v>28.31</v>
      </c>
      <c r="D477" s="1">
        <v>1</v>
      </c>
      <c r="E477" s="1" t="s">
        <v>8</v>
      </c>
      <c r="F477" s="1" t="s">
        <v>13</v>
      </c>
      <c r="G477" s="1">
        <v>28868.6639</v>
      </c>
      <c r="H477" t="str">
        <f t="shared" si="7"/>
        <v>60+</v>
      </c>
    </row>
    <row r="478" spans="1:8" ht="15.75" customHeight="1">
      <c r="A478" s="1">
        <v>24</v>
      </c>
      <c r="B478" s="1" t="s">
        <v>10</v>
      </c>
      <c r="C478" s="1">
        <v>28.5</v>
      </c>
      <c r="D478" s="1">
        <v>0</v>
      </c>
      <c r="E478" s="1" t="s">
        <v>8</v>
      </c>
      <c r="F478" s="1" t="s">
        <v>14</v>
      </c>
      <c r="G478" s="1">
        <v>35147.528480000001</v>
      </c>
      <c r="H478" t="str">
        <f t="shared" si="7"/>
        <v>18-29</v>
      </c>
    </row>
    <row r="479" spans="1:8" ht="15.75" customHeight="1">
      <c r="A479" s="1">
        <v>25</v>
      </c>
      <c r="B479" s="1" t="s">
        <v>10</v>
      </c>
      <c r="C479" s="1">
        <v>35.625</v>
      </c>
      <c r="D479" s="1">
        <v>0</v>
      </c>
      <c r="E479" s="1" t="s">
        <v>11</v>
      </c>
      <c r="F479" s="1" t="s">
        <v>13</v>
      </c>
      <c r="G479" s="1">
        <v>2534.3937500000002</v>
      </c>
      <c r="H479" t="str">
        <f t="shared" si="7"/>
        <v>18-29</v>
      </c>
    </row>
    <row r="480" spans="1:8" ht="15.75" customHeight="1">
      <c r="A480" s="1">
        <v>21</v>
      </c>
      <c r="B480" s="1" t="s">
        <v>10</v>
      </c>
      <c r="C480" s="1">
        <v>36.85</v>
      </c>
      <c r="D480" s="1">
        <v>0</v>
      </c>
      <c r="E480" s="1" t="s">
        <v>11</v>
      </c>
      <c r="F480" s="1" t="s">
        <v>12</v>
      </c>
      <c r="G480" s="1">
        <v>1534.3045</v>
      </c>
      <c r="H480" t="str">
        <f t="shared" si="7"/>
        <v>18-29</v>
      </c>
    </row>
    <row r="481" spans="1:8" ht="15.75" customHeight="1">
      <c r="A481" s="1">
        <v>23</v>
      </c>
      <c r="B481" s="1" t="s">
        <v>10</v>
      </c>
      <c r="C481" s="1">
        <v>32.56</v>
      </c>
      <c r="D481" s="1">
        <v>0</v>
      </c>
      <c r="E481" s="1" t="s">
        <v>11</v>
      </c>
      <c r="F481" s="1" t="s">
        <v>12</v>
      </c>
      <c r="G481" s="1">
        <v>1824.2854</v>
      </c>
      <c r="H481" t="str">
        <f t="shared" si="7"/>
        <v>18-29</v>
      </c>
    </row>
    <row r="482" spans="1:8" ht="15.75" customHeight="1">
      <c r="A482" s="1">
        <v>63</v>
      </c>
      <c r="B482" s="1" t="s">
        <v>10</v>
      </c>
      <c r="C482" s="1">
        <v>41.325000000000003</v>
      </c>
      <c r="D482" s="1">
        <v>3</v>
      </c>
      <c r="E482" s="1" t="s">
        <v>11</v>
      </c>
      <c r="F482" s="1" t="s">
        <v>13</v>
      </c>
      <c r="G482" s="1">
        <v>15555.188749999999</v>
      </c>
      <c r="H482" t="str">
        <f t="shared" si="7"/>
        <v>60+</v>
      </c>
    </row>
    <row r="483" spans="1:8" ht="15.75" customHeight="1">
      <c r="A483" s="1">
        <v>49</v>
      </c>
      <c r="B483" s="1" t="s">
        <v>10</v>
      </c>
      <c r="C483" s="1">
        <v>37.51</v>
      </c>
      <c r="D483" s="1">
        <v>2</v>
      </c>
      <c r="E483" s="1" t="s">
        <v>11</v>
      </c>
      <c r="F483" s="1" t="s">
        <v>12</v>
      </c>
      <c r="G483" s="1">
        <v>9304.7019</v>
      </c>
      <c r="H483" t="str">
        <f t="shared" si="7"/>
        <v>40-49</v>
      </c>
    </row>
    <row r="484" spans="1:8" ht="15.75" customHeight="1">
      <c r="A484" s="1">
        <v>18</v>
      </c>
      <c r="B484" s="1" t="s">
        <v>7</v>
      </c>
      <c r="C484" s="1">
        <v>31.35</v>
      </c>
      <c r="D484" s="1">
        <v>0</v>
      </c>
      <c r="E484" s="1" t="s">
        <v>11</v>
      </c>
      <c r="F484" s="1" t="s">
        <v>12</v>
      </c>
      <c r="G484" s="1">
        <v>1622.1885</v>
      </c>
      <c r="H484" t="str">
        <f t="shared" si="7"/>
        <v>18-29</v>
      </c>
    </row>
    <row r="485" spans="1:8" ht="15.75" customHeight="1">
      <c r="A485" s="1">
        <v>51</v>
      </c>
      <c r="B485" s="1" t="s">
        <v>7</v>
      </c>
      <c r="C485" s="1">
        <v>39.5</v>
      </c>
      <c r="D485" s="1">
        <v>1</v>
      </c>
      <c r="E485" s="1" t="s">
        <v>11</v>
      </c>
      <c r="F485" s="1" t="s">
        <v>9</v>
      </c>
      <c r="G485" s="1">
        <v>9880.0679999999993</v>
      </c>
      <c r="H485" t="str">
        <f t="shared" si="7"/>
        <v>50-59</v>
      </c>
    </row>
    <row r="486" spans="1:8" ht="15.75" customHeight="1">
      <c r="A486" s="1">
        <v>48</v>
      </c>
      <c r="B486" s="1" t="s">
        <v>10</v>
      </c>
      <c r="C486" s="1">
        <v>34.299999999999997</v>
      </c>
      <c r="D486" s="1">
        <v>3</v>
      </c>
      <c r="E486" s="1" t="s">
        <v>11</v>
      </c>
      <c r="F486" s="1" t="s">
        <v>9</v>
      </c>
      <c r="G486" s="1">
        <v>9563.0290000000005</v>
      </c>
      <c r="H486" t="str">
        <f t="shared" si="7"/>
        <v>40-49</v>
      </c>
    </row>
    <row r="487" spans="1:8" ht="15.75" customHeight="1">
      <c r="A487" s="1">
        <v>31</v>
      </c>
      <c r="B487" s="1" t="s">
        <v>7</v>
      </c>
      <c r="C487" s="1">
        <v>31.065000000000001</v>
      </c>
      <c r="D487" s="1">
        <v>0</v>
      </c>
      <c r="E487" s="1" t="s">
        <v>11</v>
      </c>
      <c r="F487" s="1" t="s">
        <v>14</v>
      </c>
      <c r="G487" s="1">
        <v>4347.0233500000004</v>
      </c>
      <c r="H487" t="str">
        <f t="shared" si="7"/>
        <v>30-39</v>
      </c>
    </row>
    <row r="488" spans="1:8" ht="15.75" customHeight="1">
      <c r="A488" s="1">
        <v>54</v>
      </c>
      <c r="B488" s="1" t="s">
        <v>7</v>
      </c>
      <c r="C488" s="1">
        <v>21.47</v>
      </c>
      <c r="D488" s="1">
        <v>3</v>
      </c>
      <c r="E488" s="1" t="s">
        <v>11</v>
      </c>
      <c r="F488" s="1" t="s">
        <v>13</v>
      </c>
      <c r="G488" s="1">
        <v>12475.3513</v>
      </c>
      <c r="H488" t="str">
        <f t="shared" si="7"/>
        <v>50-59</v>
      </c>
    </row>
    <row r="489" spans="1:8" ht="15.75" customHeight="1">
      <c r="A489" s="1">
        <v>19</v>
      </c>
      <c r="B489" s="1" t="s">
        <v>10</v>
      </c>
      <c r="C489" s="1">
        <v>28.7</v>
      </c>
      <c r="D489" s="1">
        <v>0</v>
      </c>
      <c r="E489" s="1" t="s">
        <v>11</v>
      </c>
      <c r="F489" s="1" t="s">
        <v>9</v>
      </c>
      <c r="G489" s="1">
        <v>1253.9359999999999</v>
      </c>
      <c r="H489" t="str">
        <f t="shared" si="7"/>
        <v>18-29</v>
      </c>
    </row>
    <row r="490" spans="1:8" ht="15.75" customHeight="1">
      <c r="A490" s="1">
        <v>44</v>
      </c>
      <c r="B490" s="1" t="s">
        <v>7</v>
      </c>
      <c r="C490" s="1">
        <v>38.06</v>
      </c>
      <c r="D490" s="1">
        <v>0</v>
      </c>
      <c r="E490" s="1" t="s">
        <v>8</v>
      </c>
      <c r="F490" s="1" t="s">
        <v>12</v>
      </c>
      <c r="G490" s="1">
        <v>48885.135609999998</v>
      </c>
      <c r="H490" t="str">
        <f t="shared" si="7"/>
        <v>40-49</v>
      </c>
    </row>
    <row r="491" spans="1:8" ht="15.75" customHeight="1">
      <c r="A491" s="1">
        <v>53</v>
      </c>
      <c r="B491" s="1" t="s">
        <v>10</v>
      </c>
      <c r="C491" s="1">
        <v>31.16</v>
      </c>
      <c r="D491" s="1">
        <v>1</v>
      </c>
      <c r="E491" s="1" t="s">
        <v>11</v>
      </c>
      <c r="F491" s="1" t="s">
        <v>13</v>
      </c>
      <c r="G491" s="1">
        <v>10461.9794</v>
      </c>
      <c r="H491" t="str">
        <f t="shared" si="7"/>
        <v>50-59</v>
      </c>
    </row>
    <row r="492" spans="1:8" ht="15.75" customHeight="1">
      <c r="A492" s="1">
        <v>19</v>
      </c>
      <c r="B492" s="1" t="s">
        <v>7</v>
      </c>
      <c r="C492" s="1">
        <v>32.9</v>
      </c>
      <c r="D492" s="1">
        <v>0</v>
      </c>
      <c r="E492" s="1" t="s">
        <v>11</v>
      </c>
      <c r="F492" s="1" t="s">
        <v>9</v>
      </c>
      <c r="G492" s="1">
        <v>1748.7739999999999</v>
      </c>
      <c r="H492" t="str">
        <f t="shared" si="7"/>
        <v>18-29</v>
      </c>
    </row>
    <row r="493" spans="1:8" ht="15.75" customHeight="1">
      <c r="A493" s="1">
        <v>61</v>
      </c>
      <c r="B493" s="1" t="s">
        <v>7</v>
      </c>
      <c r="C493" s="1">
        <v>25.08</v>
      </c>
      <c r="D493" s="1">
        <v>0</v>
      </c>
      <c r="E493" s="1" t="s">
        <v>11</v>
      </c>
      <c r="F493" s="1" t="s">
        <v>12</v>
      </c>
      <c r="G493" s="1">
        <v>24513.091260000001</v>
      </c>
      <c r="H493" t="str">
        <f t="shared" si="7"/>
        <v>60+</v>
      </c>
    </row>
    <row r="494" spans="1:8" ht="15.75" customHeight="1">
      <c r="A494" s="1">
        <v>18</v>
      </c>
      <c r="B494" s="1" t="s">
        <v>7</v>
      </c>
      <c r="C494" s="1">
        <v>25.08</v>
      </c>
      <c r="D494" s="1">
        <v>0</v>
      </c>
      <c r="E494" s="1" t="s">
        <v>11</v>
      </c>
      <c r="F494" s="1" t="s">
        <v>14</v>
      </c>
      <c r="G494" s="1">
        <v>2196.4731999999999</v>
      </c>
      <c r="H494" t="str">
        <f t="shared" si="7"/>
        <v>18-29</v>
      </c>
    </row>
    <row r="495" spans="1:8" ht="15.75" customHeight="1">
      <c r="A495" s="1">
        <v>61</v>
      </c>
      <c r="B495" s="1" t="s">
        <v>10</v>
      </c>
      <c r="C495" s="1">
        <v>43.4</v>
      </c>
      <c r="D495" s="1">
        <v>0</v>
      </c>
      <c r="E495" s="1" t="s">
        <v>11</v>
      </c>
      <c r="F495" s="1" t="s">
        <v>9</v>
      </c>
      <c r="G495" s="1">
        <v>12574.049000000001</v>
      </c>
      <c r="H495" t="str">
        <f t="shared" si="7"/>
        <v>60+</v>
      </c>
    </row>
    <row r="496" spans="1:8" ht="15.75" customHeight="1">
      <c r="A496" s="1">
        <v>21</v>
      </c>
      <c r="B496" s="1" t="s">
        <v>10</v>
      </c>
      <c r="C496" s="1">
        <v>25.7</v>
      </c>
      <c r="D496" s="1">
        <v>4</v>
      </c>
      <c r="E496" s="1" t="s">
        <v>8</v>
      </c>
      <c r="F496" s="1" t="s">
        <v>9</v>
      </c>
      <c r="G496" s="1">
        <v>17942.106</v>
      </c>
      <c r="H496" t="str">
        <f t="shared" si="7"/>
        <v>18-29</v>
      </c>
    </row>
    <row r="497" spans="1:8" ht="15.75" customHeight="1">
      <c r="A497" s="1">
        <v>20</v>
      </c>
      <c r="B497" s="1" t="s">
        <v>10</v>
      </c>
      <c r="C497" s="1">
        <v>27.93</v>
      </c>
      <c r="D497" s="1">
        <v>0</v>
      </c>
      <c r="E497" s="1" t="s">
        <v>11</v>
      </c>
      <c r="F497" s="1" t="s">
        <v>14</v>
      </c>
      <c r="G497" s="1">
        <v>1967.0227</v>
      </c>
      <c r="H497" t="str">
        <f t="shared" si="7"/>
        <v>18-29</v>
      </c>
    </row>
    <row r="498" spans="1:8" ht="15.75" customHeight="1">
      <c r="A498" s="1">
        <v>31</v>
      </c>
      <c r="B498" s="1" t="s">
        <v>7</v>
      </c>
      <c r="C498" s="1">
        <v>23.6</v>
      </c>
      <c r="D498" s="1">
        <v>2</v>
      </c>
      <c r="E498" s="1" t="s">
        <v>11</v>
      </c>
      <c r="F498" s="1" t="s">
        <v>9</v>
      </c>
      <c r="G498" s="1">
        <v>4931.6469999999999</v>
      </c>
      <c r="H498" t="str">
        <f t="shared" si="7"/>
        <v>30-39</v>
      </c>
    </row>
    <row r="499" spans="1:8" ht="15.75" customHeight="1">
      <c r="A499" s="1">
        <v>45</v>
      </c>
      <c r="B499" s="1" t="s">
        <v>10</v>
      </c>
      <c r="C499" s="1">
        <v>28.7</v>
      </c>
      <c r="D499" s="1">
        <v>2</v>
      </c>
      <c r="E499" s="1" t="s">
        <v>11</v>
      </c>
      <c r="F499" s="1" t="s">
        <v>9</v>
      </c>
      <c r="G499" s="1">
        <v>8027.9679999999998</v>
      </c>
      <c r="H499" t="str">
        <f t="shared" si="7"/>
        <v>40-49</v>
      </c>
    </row>
    <row r="500" spans="1:8" ht="15.75" customHeight="1">
      <c r="A500" s="1">
        <v>44</v>
      </c>
      <c r="B500" s="1" t="s">
        <v>7</v>
      </c>
      <c r="C500" s="1">
        <v>23.98</v>
      </c>
      <c r="D500" s="1">
        <v>2</v>
      </c>
      <c r="E500" s="1" t="s">
        <v>11</v>
      </c>
      <c r="F500" s="1" t="s">
        <v>12</v>
      </c>
      <c r="G500" s="1">
        <v>8211.1002000000008</v>
      </c>
      <c r="H500" t="str">
        <f t="shared" si="7"/>
        <v>40-49</v>
      </c>
    </row>
    <row r="501" spans="1:8" ht="15.75" customHeight="1">
      <c r="A501" s="1">
        <v>62</v>
      </c>
      <c r="B501" s="1" t="s">
        <v>7</v>
      </c>
      <c r="C501" s="1">
        <v>39.200000000000003</v>
      </c>
      <c r="D501" s="1">
        <v>0</v>
      </c>
      <c r="E501" s="1" t="s">
        <v>11</v>
      </c>
      <c r="F501" s="1" t="s">
        <v>9</v>
      </c>
      <c r="G501" s="1">
        <v>13470.86</v>
      </c>
      <c r="H501" t="str">
        <f t="shared" si="7"/>
        <v>60+</v>
      </c>
    </row>
    <row r="502" spans="1:8" ht="15.75" customHeight="1">
      <c r="A502" s="1">
        <v>29</v>
      </c>
      <c r="B502" s="1" t="s">
        <v>10</v>
      </c>
      <c r="C502" s="1">
        <v>34.4</v>
      </c>
      <c r="D502" s="1">
        <v>0</v>
      </c>
      <c r="E502" s="1" t="s">
        <v>8</v>
      </c>
      <c r="F502" s="1" t="s">
        <v>9</v>
      </c>
      <c r="G502" s="1">
        <v>36197.699000000001</v>
      </c>
      <c r="H502" t="str">
        <f t="shared" si="7"/>
        <v>18-29</v>
      </c>
    </row>
    <row r="503" spans="1:8" ht="15.75" customHeight="1">
      <c r="A503" s="1">
        <v>43</v>
      </c>
      <c r="B503" s="1" t="s">
        <v>10</v>
      </c>
      <c r="C503" s="1">
        <v>26.03</v>
      </c>
      <c r="D503" s="1">
        <v>0</v>
      </c>
      <c r="E503" s="1" t="s">
        <v>11</v>
      </c>
      <c r="F503" s="1" t="s">
        <v>14</v>
      </c>
      <c r="G503" s="1">
        <v>6837.3687</v>
      </c>
      <c r="H503" t="str">
        <f t="shared" si="7"/>
        <v>40-49</v>
      </c>
    </row>
    <row r="504" spans="1:8" ht="15.75" customHeight="1">
      <c r="A504" s="1">
        <v>51</v>
      </c>
      <c r="B504" s="1" t="s">
        <v>10</v>
      </c>
      <c r="C504" s="1">
        <v>23.21</v>
      </c>
      <c r="D504" s="1">
        <v>1</v>
      </c>
      <c r="E504" s="1" t="s">
        <v>8</v>
      </c>
      <c r="F504" s="1" t="s">
        <v>12</v>
      </c>
      <c r="G504" s="1">
        <v>22218.1149</v>
      </c>
      <c r="H504" t="str">
        <f t="shared" si="7"/>
        <v>50-59</v>
      </c>
    </row>
    <row r="505" spans="1:8" ht="15.75" customHeight="1">
      <c r="A505" s="1">
        <v>19</v>
      </c>
      <c r="B505" s="1" t="s">
        <v>10</v>
      </c>
      <c r="C505" s="1">
        <v>30.25</v>
      </c>
      <c r="D505" s="1">
        <v>0</v>
      </c>
      <c r="E505" s="1" t="s">
        <v>8</v>
      </c>
      <c r="F505" s="1" t="s">
        <v>12</v>
      </c>
      <c r="G505" s="1">
        <v>32548.340499999998</v>
      </c>
      <c r="H505" t="str">
        <f t="shared" si="7"/>
        <v>18-29</v>
      </c>
    </row>
    <row r="506" spans="1:8" ht="15.75" customHeight="1">
      <c r="A506" s="1">
        <v>38</v>
      </c>
      <c r="B506" s="1" t="s">
        <v>7</v>
      </c>
      <c r="C506" s="1">
        <v>28.93</v>
      </c>
      <c r="D506" s="1">
        <v>1</v>
      </c>
      <c r="E506" s="1" t="s">
        <v>11</v>
      </c>
      <c r="F506" s="1" t="s">
        <v>12</v>
      </c>
      <c r="G506" s="1">
        <v>5974.3846999999996</v>
      </c>
      <c r="H506" t="str">
        <f t="shared" si="7"/>
        <v>30-39</v>
      </c>
    </row>
    <row r="507" spans="1:8" ht="15.75" customHeight="1">
      <c r="A507" s="1">
        <v>37</v>
      </c>
      <c r="B507" s="1" t="s">
        <v>10</v>
      </c>
      <c r="C507" s="1">
        <v>30.875</v>
      </c>
      <c r="D507" s="1">
        <v>3</v>
      </c>
      <c r="E507" s="1" t="s">
        <v>11</v>
      </c>
      <c r="F507" s="1" t="s">
        <v>13</v>
      </c>
      <c r="G507" s="1">
        <v>6796.8632500000003</v>
      </c>
      <c r="H507" t="str">
        <f t="shared" si="7"/>
        <v>30-39</v>
      </c>
    </row>
    <row r="508" spans="1:8" ht="15.75" customHeight="1">
      <c r="A508" s="1">
        <v>22</v>
      </c>
      <c r="B508" s="1" t="s">
        <v>10</v>
      </c>
      <c r="C508" s="1">
        <v>31.35</v>
      </c>
      <c r="D508" s="1">
        <v>1</v>
      </c>
      <c r="E508" s="1" t="s">
        <v>11</v>
      </c>
      <c r="F508" s="1" t="s">
        <v>13</v>
      </c>
      <c r="G508" s="1">
        <v>2643.2685000000001</v>
      </c>
      <c r="H508" t="str">
        <f t="shared" si="7"/>
        <v>18-29</v>
      </c>
    </row>
    <row r="509" spans="1:8" ht="15.75" customHeight="1">
      <c r="A509" s="1">
        <v>21</v>
      </c>
      <c r="B509" s="1" t="s">
        <v>10</v>
      </c>
      <c r="C509" s="1">
        <v>23.75</v>
      </c>
      <c r="D509" s="1">
        <v>2</v>
      </c>
      <c r="E509" s="1" t="s">
        <v>11</v>
      </c>
      <c r="F509" s="1" t="s">
        <v>13</v>
      </c>
      <c r="G509" s="1">
        <v>3077.0954999999999</v>
      </c>
      <c r="H509" t="str">
        <f t="shared" si="7"/>
        <v>18-29</v>
      </c>
    </row>
    <row r="510" spans="1:8" ht="15.75" customHeight="1">
      <c r="A510" s="1">
        <v>24</v>
      </c>
      <c r="B510" s="1" t="s">
        <v>7</v>
      </c>
      <c r="C510" s="1">
        <v>25.27</v>
      </c>
      <c r="D510" s="1">
        <v>0</v>
      </c>
      <c r="E510" s="1" t="s">
        <v>11</v>
      </c>
      <c r="F510" s="1" t="s">
        <v>14</v>
      </c>
      <c r="G510" s="1">
        <v>3044.2132999999999</v>
      </c>
      <c r="H510" t="str">
        <f t="shared" si="7"/>
        <v>18-29</v>
      </c>
    </row>
    <row r="511" spans="1:8" ht="15.75" customHeight="1">
      <c r="A511" s="1">
        <v>57</v>
      </c>
      <c r="B511" s="1" t="s">
        <v>7</v>
      </c>
      <c r="C511" s="1">
        <v>28.7</v>
      </c>
      <c r="D511" s="1">
        <v>0</v>
      </c>
      <c r="E511" s="1" t="s">
        <v>11</v>
      </c>
      <c r="F511" s="1" t="s">
        <v>9</v>
      </c>
      <c r="G511" s="1">
        <v>11455.28</v>
      </c>
      <c r="H511" t="str">
        <f t="shared" si="7"/>
        <v>50-59</v>
      </c>
    </row>
    <row r="512" spans="1:8" ht="15.75" customHeight="1">
      <c r="A512" s="1">
        <v>56</v>
      </c>
      <c r="B512" s="1" t="s">
        <v>10</v>
      </c>
      <c r="C512" s="1">
        <v>32.11</v>
      </c>
      <c r="D512" s="1">
        <v>1</v>
      </c>
      <c r="E512" s="1" t="s">
        <v>11</v>
      </c>
      <c r="F512" s="1" t="s">
        <v>14</v>
      </c>
      <c r="G512" s="1">
        <v>11763.000899999999</v>
      </c>
      <c r="H512" t="str">
        <f t="shared" si="7"/>
        <v>50-59</v>
      </c>
    </row>
    <row r="513" spans="1:8" ht="15.75" customHeight="1">
      <c r="A513" s="1">
        <v>27</v>
      </c>
      <c r="B513" s="1" t="s">
        <v>10</v>
      </c>
      <c r="C513" s="1">
        <v>33.659999999999997</v>
      </c>
      <c r="D513" s="1">
        <v>0</v>
      </c>
      <c r="E513" s="1" t="s">
        <v>11</v>
      </c>
      <c r="F513" s="1" t="s">
        <v>12</v>
      </c>
      <c r="G513" s="1">
        <v>2498.4144000000001</v>
      </c>
      <c r="H513" t="str">
        <f t="shared" si="7"/>
        <v>18-29</v>
      </c>
    </row>
    <row r="514" spans="1:8" ht="15.75" customHeight="1">
      <c r="A514" s="1">
        <v>51</v>
      </c>
      <c r="B514" s="1" t="s">
        <v>10</v>
      </c>
      <c r="C514" s="1">
        <v>22.42</v>
      </c>
      <c r="D514" s="1">
        <v>0</v>
      </c>
      <c r="E514" s="1" t="s">
        <v>11</v>
      </c>
      <c r="F514" s="1" t="s">
        <v>14</v>
      </c>
      <c r="G514" s="1">
        <v>9361.3268000000007</v>
      </c>
      <c r="H514" t="str">
        <f t="shared" si="7"/>
        <v>50-59</v>
      </c>
    </row>
    <row r="515" spans="1:8" ht="15.75" customHeight="1">
      <c r="A515" s="1">
        <v>19</v>
      </c>
      <c r="B515" s="1" t="s">
        <v>10</v>
      </c>
      <c r="C515" s="1">
        <v>30.4</v>
      </c>
      <c r="D515" s="1">
        <v>0</v>
      </c>
      <c r="E515" s="1" t="s">
        <v>11</v>
      </c>
      <c r="F515" s="1" t="s">
        <v>9</v>
      </c>
      <c r="G515" s="1">
        <v>1256.299</v>
      </c>
      <c r="H515" t="str">
        <f t="shared" ref="H515:H578" si="8">IF(A515&lt;30,"18-29",IF(A515&lt;40,"30-39",IF(A515&lt;50,"40-49",IF(A515&lt;60,"50-59","60+"))))</f>
        <v>18-29</v>
      </c>
    </row>
    <row r="516" spans="1:8" ht="15.75" customHeight="1">
      <c r="A516" s="1">
        <v>39</v>
      </c>
      <c r="B516" s="1" t="s">
        <v>10</v>
      </c>
      <c r="C516" s="1">
        <v>28.3</v>
      </c>
      <c r="D516" s="1">
        <v>1</v>
      </c>
      <c r="E516" s="1" t="s">
        <v>8</v>
      </c>
      <c r="F516" s="1" t="s">
        <v>9</v>
      </c>
      <c r="G516" s="1">
        <v>21082.16</v>
      </c>
      <c r="H516" t="str">
        <f t="shared" si="8"/>
        <v>30-39</v>
      </c>
    </row>
    <row r="517" spans="1:8" ht="15.75" customHeight="1">
      <c r="A517" s="1">
        <v>58</v>
      </c>
      <c r="B517" s="1" t="s">
        <v>10</v>
      </c>
      <c r="C517" s="1">
        <v>35.700000000000003</v>
      </c>
      <c r="D517" s="1">
        <v>0</v>
      </c>
      <c r="E517" s="1" t="s">
        <v>11</v>
      </c>
      <c r="F517" s="1" t="s">
        <v>9</v>
      </c>
      <c r="G517" s="1">
        <v>11362.754999999999</v>
      </c>
      <c r="H517" t="str">
        <f t="shared" si="8"/>
        <v>50-59</v>
      </c>
    </row>
    <row r="518" spans="1:8" ht="15.75" customHeight="1">
      <c r="A518" s="1">
        <v>20</v>
      </c>
      <c r="B518" s="1" t="s">
        <v>10</v>
      </c>
      <c r="C518" s="1">
        <v>35.31</v>
      </c>
      <c r="D518" s="1">
        <v>1</v>
      </c>
      <c r="E518" s="1" t="s">
        <v>11</v>
      </c>
      <c r="F518" s="1" t="s">
        <v>12</v>
      </c>
      <c r="G518" s="1">
        <v>27724.28875</v>
      </c>
      <c r="H518" t="str">
        <f t="shared" si="8"/>
        <v>18-29</v>
      </c>
    </row>
    <row r="519" spans="1:8" ht="15.75" customHeight="1">
      <c r="A519" s="1">
        <v>45</v>
      </c>
      <c r="B519" s="1" t="s">
        <v>10</v>
      </c>
      <c r="C519" s="1">
        <v>30.495000000000001</v>
      </c>
      <c r="D519" s="1">
        <v>2</v>
      </c>
      <c r="E519" s="1" t="s">
        <v>11</v>
      </c>
      <c r="F519" s="1" t="s">
        <v>13</v>
      </c>
      <c r="G519" s="1">
        <v>8413.4630500000003</v>
      </c>
      <c r="H519" t="str">
        <f t="shared" si="8"/>
        <v>40-49</v>
      </c>
    </row>
    <row r="520" spans="1:8" ht="15.75" customHeight="1">
      <c r="A520" s="1">
        <v>35</v>
      </c>
      <c r="B520" s="1" t="s">
        <v>7</v>
      </c>
      <c r="C520" s="1">
        <v>31</v>
      </c>
      <c r="D520" s="1">
        <v>1</v>
      </c>
      <c r="E520" s="1" t="s">
        <v>11</v>
      </c>
      <c r="F520" s="1" t="s">
        <v>9</v>
      </c>
      <c r="G520" s="1">
        <v>5240.7650000000003</v>
      </c>
      <c r="H520" t="str">
        <f t="shared" si="8"/>
        <v>30-39</v>
      </c>
    </row>
    <row r="521" spans="1:8" ht="15.75" customHeight="1">
      <c r="A521" s="1">
        <v>31</v>
      </c>
      <c r="B521" s="1" t="s">
        <v>10</v>
      </c>
      <c r="C521" s="1">
        <v>30.875</v>
      </c>
      <c r="D521" s="1">
        <v>0</v>
      </c>
      <c r="E521" s="1" t="s">
        <v>11</v>
      </c>
      <c r="F521" s="1" t="s">
        <v>14</v>
      </c>
      <c r="G521" s="1">
        <v>3857.7592500000001</v>
      </c>
      <c r="H521" t="str">
        <f t="shared" si="8"/>
        <v>30-39</v>
      </c>
    </row>
    <row r="522" spans="1:8" ht="15.75" customHeight="1">
      <c r="A522" s="1">
        <v>50</v>
      </c>
      <c r="B522" s="1" t="s">
        <v>7</v>
      </c>
      <c r="C522" s="1">
        <v>27.36</v>
      </c>
      <c r="D522" s="1">
        <v>0</v>
      </c>
      <c r="E522" s="1" t="s">
        <v>11</v>
      </c>
      <c r="F522" s="1" t="s">
        <v>14</v>
      </c>
      <c r="G522" s="1">
        <v>25656.575260000001</v>
      </c>
      <c r="H522" t="str">
        <f t="shared" si="8"/>
        <v>50-59</v>
      </c>
    </row>
    <row r="523" spans="1:8" ht="15.75" customHeight="1">
      <c r="A523" s="1">
        <v>32</v>
      </c>
      <c r="B523" s="1" t="s">
        <v>7</v>
      </c>
      <c r="C523" s="1">
        <v>44.22</v>
      </c>
      <c r="D523" s="1">
        <v>0</v>
      </c>
      <c r="E523" s="1" t="s">
        <v>11</v>
      </c>
      <c r="F523" s="1" t="s">
        <v>12</v>
      </c>
      <c r="G523" s="1">
        <v>3994.1777999999999</v>
      </c>
      <c r="H523" t="str">
        <f t="shared" si="8"/>
        <v>30-39</v>
      </c>
    </row>
    <row r="524" spans="1:8" ht="15.75" customHeight="1">
      <c r="A524" s="1">
        <v>51</v>
      </c>
      <c r="B524" s="1" t="s">
        <v>7</v>
      </c>
      <c r="C524" s="1">
        <v>33.914999999999999</v>
      </c>
      <c r="D524" s="1">
        <v>0</v>
      </c>
      <c r="E524" s="1" t="s">
        <v>11</v>
      </c>
      <c r="F524" s="1" t="s">
        <v>14</v>
      </c>
      <c r="G524" s="1">
        <v>9866.3048500000004</v>
      </c>
      <c r="H524" t="str">
        <f t="shared" si="8"/>
        <v>50-59</v>
      </c>
    </row>
    <row r="525" spans="1:8" ht="15.75" customHeight="1">
      <c r="A525" s="1">
        <v>38</v>
      </c>
      <c r="B525" s="1" t="s">
        <v>7</v>
      </c>
      <c r="C525" s="1">
        <v>37.729999999999997</v>
      </c>
      <c r="D525" s="1">
        <v>0</v>
      </c>
      <c r="E525" s="1" t="s">
        <v>11</v>
      </c>
      <c r="F525" s="1" t="s">
        <v>12</v>
      </c>
      <c r="G525" s="1">
        <v>5397.6166999999996</v>
      </c>
      <c r="H525" t="str">
        <f t="shared" si="8"/>
        <v>30-39</v>
      </c>
    </row>
    <row r="526" spans="1:8" ht="15.75" customHeight="1">
      <c r="A526" s="1">
        <v>42</v>
      </c>
      <c r="B526" s="1" t="s">
        <v>10</v>
      </c>
      <c r="C526" s="1">
        <v>26.07</v>
      </c>
      <c r="D526" s="1">
        <v>1</v>
      </c>
      <c r="E526" s="1" t="s">
        <v>8</v>
      </c>
      <c r="F526" s="1" t="s">
        <v>12</v>
      </c>
      <c r="G526" s="1">
        <v>38245.593269999998</v>
      </c>
      <c r="H526" t="str">
        <f t="shared" si="8"/>
        <v>40-49</v>
      </c>
    </row>
    <row r="527" spans="1:8" ht="15.75" customHeight="1">
      <c r="A527" s="1">
        <v>18</v>
      </c>
      <c r="B527" s="1" t="s">
        <v>7</v>
      </c>
      <c r="C527" s="1">
        <v>33.880000000000003</v>
      </c>
      <c r="D527" s="1">
        <v>0</v>
      </c>
      <c r="E527" s="1" t="s">
        <v>11</v>
      </c>
      <c r="F527" s="1" t="s">
        <v>12</v>
      </c>
      <c r="G527" s="1">
        <v>11482.63485</v>
      </c>
      <c r="H527" t="str">
        <f t="shared" si="8"/>
        <v>18-29</v>
      </c>
    </row>
    <row r="528" spans="1:8" ht="15.75" customHeight="1">
      <c r="A528" s="1">
        <v>19</v>
      </c>
      <c r="B528" s="1" t="s">
        <v>7</v>
      </c>
      <c r="C528" s="1">
        <v>30.59</v>
      </c>
      <c r="D528" s="1">
        <v>2</v>
      </c>
      <c r="E528" s="1" t="s">
        <v>11</v>
      </c>
      <c r="F528" s="1" t="s">
        <v>13</v>
      </c>
      <c r="G528" s="1">
        <v>24059.680189999999</v>
      </c>
      <c r="H528" t="str">
        <f t="shared" si="8"/>
        <v>18-29</v>
      </c>
    </row>
    <row r="529" spans="1:8" ht="15.75" customHeight="1">
      <c r="A529" s="1">
        <v>51</v>
      </c>
      <c r="B529" s="1" t="s">
        <v>7</v>
      </c>
      <c r="C529" s="1">
        <v>25.8</v>
      </c>
      <c r="D529" s="1">
        <v>1</v>
      </c>
      <c r="E529" s="1" t="s">
        <v>11</v>
      </c>
      <c r="F529" s="1" t="s">
        <v>9</v>
      </c>
      <c r="G529" s="1">
        <v>9861.0249999999996</v>
      </c>
      <c r="H529" t="str">
        <f t="shared" si="8"/>
        <v>50-59</v>
      </c>
    </row>
    <row r="530" spans="1:8" ht="15.75" customHeight="1">
      <c r="A530" s="1">
        <v>46</v>
      </c>
      <c r="B530" s="1" t="s">
        <v>10</v>
      </c>
      <c r="C530" s="1">
        <v>39.424999999999997</v>
      </c>
      <c r="D530" s="1">
        <v>1</v>
      </c>
      <c r="E530" s="1" t="s">
        <v>11</v>
      </c>
      <c r="F530" s="1" t="s">
        <v>14</v>
      </c>
      <c r="G530" s="1">
        <v>8342.9087500000005</v>
      </c>
      <c r="H530" t="str">
        <f t="shared" si="8"/>
        <v>40-49</v>
      </c>
    </row>
    <row r="531" spans="1:8" ht="15.75" customHeight="1">
      <c r="A531" s="1">
        <v>18</v>
      </c>
      <c r="B531" s="1" t="s">
        <v>10</v>
      </c>
      <c r="C531" s="1">
        <v>25.46</v>
      </c>
      <c r="D531" s="1">
        <v>0</v>
      </c>
      <c r="E531" s="1" t="s">
        <v>11</v>
      </c>
      <c r="F531" s="1" t="s">
        <v>14</v>
      </c>
      <c r="G531" s="1">
        <v>1708.0014000000001</v>
      </c>
      <c r="H531" t="str">
        <f t="shared" si="8"/>
        <v>18-29</v>
      </c>
    </row>
    <row r="532" spans="1:8" ht="15.75" customHeight="1">
      <c r="A532" s="1">
        <v>57</v>
      </c>
      <c r="B532" s="1" t="s">
        <v>10</v>
      </c>
      <c r="C532" s="1">
        <v>42.13</v>
      </c>
      <c r="D532" s="1">
        <v>1</v>
      </c>
      <c r="E532" s="1" t="s">
        <v>8</v>
      </c>
      <c r="F532" s="1" t="s">
        <v>12</v>
      </c>
      <c r="G532" s="1">
        <v>48675.517699999997</v>
      </c>
      <c r="H532" t="str">
        <f t="shared" si="8"/>
        <v>50-59</v>
      </c>
    </row>
    <row r="533" spans="1:8" ht="15.75" customHeight="1">
      <c r="A533" s="1">
        <v>62</v>
      </c>
      <c r="B533" s="1" t="s">
        <v>7</v>
      </c>
      <c r="C533" s="1">
        <v>31.73</v>
      </c>
      <c r="D533" s="1">
        <v>0</v>
      </c>
      <c r="E533" s="1" t="s">
        <v>11</v>
      </c>
      <c r="F533" s="1" t="s">
        <v>14</v>
      </c>
      <c r="G533" s="1">
        <v>14043.476699999999</v>
      </c>
      <c r="H533" t="str">
        <f t="shared" si="8"/>
        <v>60+</v>
      </c>
    </row>
    <row r="534" spans="1:8" ht="15.75" customHeight="1">
      <c r="A534" s="1">
        <v>59</v>
      </c>
      <c r="B534" s="1" t="s">
        <v>10</v>
      </c>
      <c r="C534" s="1">
        <v>29.7</v>
      </c>
      <c r="D534" s="1">
        <v>2</v>
      </c>
      <c r="E534" s="1" t="s">
        <v>11</v>
      </c>
      <c r="F534" s="1" t="s">
        <v>12</v>
      </c>
      <c r="G534" s="1">
        <v>12925.886</v>
      </c>
      <c r="H534" t="str">
        <f t="shared" si="8"/>
        <v>50-59</v>
      </c>
    </row>
    <row r="535" spans="1:8" ht="15.75" customHeight="1">
      <c r="A535" s="1">
        <v>37</v>
      </c>
      <c r="B535" s="1" t="s">
        <v>10</v>
      </c>
      <c r="C535" s="1">
        <v>36.19</v>
      </c>
      <c r="D535" s="1">
        <v>0</v>
      </c>
      <c r="E535" s="1" t="s">
        <v>11</v>
      </c>
      <c r="F535" s="1" t="s">
        <v>12</v>
      </c>
      <c r="G535" s="1">
        <v>19214.705529999999</v>
      </c>
      <c r="H535" t="str">
        <f t="shared" si="8"/>
        <v>30-39</v>
      </c>
    </row>
    <row r="536" spans="1:8" ht="15.75" customHeight="1">
      <c r="A536" s="1">
        <v>64</v>
      </c>
      <c r="B536" s="1" t="s">
        <v>10</v>
      </c>
      <c r="C536" s="1">
        <v>40.479999999999997</v>
      </c>
      <c r="D536" s="1">
        <v>0</v>
      </c>
      <c r="E536" s="1" t="s">
        <v>11</v>
      </c>
      <c r="F536" s="1" t="s">
        <v>12</v>
      </c>
      <c r="G536" s="1">
        <v>13831.1152</v>
      </c>
      <c r="H536" t="str">
        <f t="shared" si="8"/>
        <v>60+</v>
      </c>
    </row>
    <row r="537" spans="1:8" ht="15.75" customHeight="1">
      <c r="A537" s="1">
        <v>38</v>
      </c>
      <c r="B537" s="1" t="s">
        <v>10</v>
      </c>
      <c r="C537" s="1">
        <v>28.024999999999999</v>
      </c>
      <c r="D537" s="1">
        <v>1</v>
      </c>
      <c r="E537" s="1" t="s">
        <v>11</v>
      </c>
      <c r="F537" s="1" t="s">
        <v>14</v>
      </c>
      <c r="G537" s="1">
        <v>6067.1267500000004</v>
      </c>
      <c r="H537" t="str">
        <f t="shared" si="8"/>
        <v>30-39</v>
      </c>
    </row>
    <row r="538" spans="1:8" ht="15.75" customHeight="1">
      <c r="A538" s="1">
        <v>33</v>
      </c>
      <c r="B538" s="1" t="s">
        <v>7</v>
      </c>
      <c r="C538" s="1">
        <v>38.9</v>
      </c>
      <c r="D538" s="1">
        <v>3</v>
      </c>
      <c r="E538" s="1" t="s">
        <v>11</v>
      </c>
      <c r="F538" s="1" t="s">
        <v>9</v>
      </c>
      <c r="G538" s="1">
        <v>5972.3779999999997</v>
      </c>
      <c r="H538" t="str">
        <f t="shared" si="8"/>
        <v>30-39</v>
      </c>
    </row>
    <row r="539" spans="1:8" ht="15.75" customHeight="1">
      <c r="A539" s="1">
        <v>46</v>
      </c>
      <c r="B539" s="1" t="s">
        <v>7</v>
      </c>
      <c r="C539" s="1">
        <v>30.2</v>
      </c>
      <c r="D539" s="1">
        <v>2</v>
      </c>
      <c r="E539" s="1" t="s">
        <v>11</v>
      </c>
      <c r="F539" s="1" t="s">
        <v>9</v>
      </c>
      <c r="G539" s="1">
        <v>8825.0859999999993</v>
      </c>
      <c r="H539" t="str">
        <f t="shared" si="8"/>
        <v>40-49</v>
      </c>
    </row>
    <row r="540" spans="1:8" ht="15.75" customHeight="1">
      <c r="A540" s="1">
        <v>46</v>
      </c>
      <c r="B540" s="1" t="s">
        <v>7</v>
      </c>
      <c r="C540" s="1">
        <v>28.05</v>
      </c>
      <c r="D540" s="1">
        <v>1</v>
      </c>
      <c r="E540" s="1" t="s">
        <v>11</v>
      </c>
      <c r="F540" s="1" t="s">
        <v>12</v>
      </c>
      <c r="G540" s="1">
        <v>8233.0974999999999</v>
      </c>
      <c r="H540" t="str">
        <f t="shared" si="8"/>
        <v>40-49</v>
      </c>
    </row>
    <row r="541" spans="1:8" ht="15.75" customHeight="1">
      <c r="A541" s="1">
        <v>53</v>
      </c>
      <c r="B541" s="1" t="s">
        <v>10</v>
      </c>
      <c r="C541" s="1">
        <v>31.35</v>
      </c>
      <c r="D541" s="1">
        <v>0</v>
      </c>
      <c r="E541" s="1" t="s">
        <v>11</v>
      </c>
      <c r="F541" s="1" t="s">
        <v>12</v>
      </c>
      <c r="G541" s="1">
        <v>27346.04207</v>
      </c>
      <c r="H541" t="str">
        <f t="shared" si="8"/>
        <v>50-59</v>
      </c>
    </row>
    <row r="542" spans="1:8" ht="15.75" customHeight="1">
      <c r="A542" s="1">
        <v>34</v>
      </c>
      <c r="B542" s="1" t="s">
        <v>7</v>
      </c>
      <c r="C542" s="1">
        <v>38</v>
      </c>
      <c r="D542" s="1">
        <v>3</v>
      </c>
      <c r="E542" s="1" t="s">
        <v>11</v>
      </c>
      <c r="F542" s="1" t="s">
        <v>9</v>
      </c>
      <c r="G542" s="1">
        <v>6196.4480000000003</v>
      </c>
      <c r="H542" t="str">
        <f t="shared" si="8"/>
        <v>30-39</v>
      </c>
    </row>
    <row r="543" spans="1:8" ht="15.75" customHeight="1">
      <c r="A543" s="1">
        <v>20</v>
      </c>
      <c r="B543" s="1" t="s">
        <v>7</v>
      </c>
      <c r="C543" s="1">
        <v>31.79</v>
      </c>
      <c r="D543" s="1">
        <v>2</v>
      </c>
      <c r="E543" s="1" t="s">
        <v>11</v>
      </c>
      <c r="F543" s="1" t="s">
        <v>12</v>
      </c>
      <c r="G543" s="1">
        <v>3056.3881000000001</v>
      </c>
      <c r="H543" t="str">
        <f t="shared" si="8"/>
        <v>18-29</v>
      </c>
    </row>
    <row r="544" spans="1:8" ht="15.75" customHeight="1">
      <c r="A544" s="1">
        <v>63</v>
      </c>
      <c r="B544" s="1" t="s">
        <v>7</v>
      </c>
      <c r="C544" s="1">
        <v>36.299999999999997</v>
      </c>
      <c r="D544" s="1">
        <v>0</v>
      </c>
      <c r="E544" s="1" t="s">
        <v>11</v>
      </c>
      <c r="F544" s="1" t="s">
        <v>12</v>
      </c>
      <c r="G544" s="1">
        <v>13887.204</v>
      </c>
      <c r="H544" t="str">
        <f t="shared" si="8"/>
        <v>60+</v>
      </c>
    </row>
    <row r="545" spans="1:8" ht="15.75" customHeight="1">
      <c r="A545" s="1">
        <v>54</v>
      </c>
      <c r="B545" s="1" t="s">
        <v>7</v>
      </c>
      <c r="C545" s="1">
        <v>47.41</v>
      </c>
      <c r="D545" s="1">
        <v>0</v>
      </c>
      <c r="E545" s="1" t="s">
        <v>8</v>
      </c>
      <c r="F545" s="1" t="s">
        <v>12</v>
      </c>
      <c r="G545" s="1">
        <v>63770.428010000003</v>
      </c>
      <c r="H545" t="str">
        <f t="shared" si="8"/>
        <v>50-59</v>
      </c>
    </row>
    <row r="546" spans="1:8" ht="15.75" customHeight="1">
      <c r="A546" s="1">
        <v>54</v>
      </c>
      <c r="B546" s="1" t="s">
        <v>10</v>
      </c>
      <c r="C546" s="1">
        <v>30.21</v>
      </c>
      <c r="D546" s="1">
        <v>0</v>
      </c>
      <c r="E546" s="1" t="s">
        <v>11</v>
      </c>
      <c r="F546" s="1" t="s">
        <v>13</v>
      </c>
      <c r="G546" s="1">
        <v>10231.499900000001</v>
      </c>
      <c r="H546" t="str">
        <f t="shared" si="8"/>
        <v>50-59</v>
      </c>
    </row>
    <row r="547" spans="1:8" ht="15.75" customHeight="1">
      <c r="A547" s="1">
        <v>49</v>
      </c>
      <c r="B547" s="1" t="s">
        <v>10</v>
      </c>
      <c r="C547" s="1">
        <v>25.84</v>
      </c>
      <c r="D547" s="1">
        <v>2</v>
      </c>
      <c r="E547" s="1" t="s">
        <v>8</v>
      </c>
      <c r="F547" s="1" t="s">
        <v>13</v>
      </c>
      <c r="G547" s="1">
        <v>23807.240600000001</v>
      </c>
      <c r="H547" t="str">
        <f t="shared" si="8"/>
        <v>40-49</v>
      </c>
    </row>
    <row r="548" spans="1:8" ht="15.75" customHeight="1">
      <c r="A548" s="1">
        <v>28</v>
      </c>
      <c r="B548" s="1" t="s">
        <v>10</v>
      </c>
      <c r="C548" s="1">
        <v>35.435000000000002</v>
      </c>
      <c r="D548" s="1">
        <v>0</v>
      </c>
      <c r="E548" s="1" t="s">
        <v>11</v>
      </c>
      <c r="F548" s="1" t="s">
        <v>14</v>
      </c>
      <c r="G548" s="1">
        <v>3268.84665</v>
      </c>
      <c r="H548" t="str">
        <f t="shared" si="8"/>
        <v>18-29</v>
      </c>
    </row>
    <row r="549" spans="1:8" ht="15.75" customHeight="1">
      <c r="A549" s="1">
        <v>54</v>
      </c>
      <c r="B549" s="1" t="s">
        <v>7</v>
      </c>
      <c r="C549" s="1">
        <v>46.7</v>
      </c>
      <c r="D549" s="1">
        <v>2</v>
      </c>
      <c r="E549" s="1" t="s">
        <v>11</v>
      </c>
      <c r="F549" s="1" t="s">
        <v>9</v>
      </c>
      <c r="G549" s="1">
        <v>11538.421</v>
      </c>
      <c r="H549" t="str">
        <f t="shared" si="8"/>
        <v>50-59</v>
      </c>
    </row>
    <row r="550" spans="1:8" ht="15.75" customHeight="1">
      <c r="A550" s="1">
        <v>25</v>
      </c>
      <c r="B550" s="1" t="s">
        <v>7</v>
      </c>
      <c r="C550" s="1">
        <v>28.594999999999999</v>
      </c>
      <c r="D550" s="1">
        <v>0</v>
      </c>
      <c r="E550" s="1" t="s">
        <v>11</v>
      </c>
      <c r="F550" s="1" t="s">
        <v>14</v>
      </c>
      <c r="G550" s="1">
        <v>3213.6220499999999</v>
      </c>
      <c r="H550" t="str">
        <f t="shared" si="8"/>
        <v>18-29</v>
      </c>
    </row>
    <row r="551" spans="1:8" ht="15.75" customHeight="1">
      <c r="A551" s="1">
        <v>43</v>
      </c>
      <c r="B551" s="1" t="s">
        <v>7</v>
      </c>
      <c r="C551" s="1">
        <v>46.2</v>
      </c>
      <c r="D551" s="1">
        <v>0</v>
      </c>
      <c r="E551" s="1" t="s">
        <v>8</v>
      </c>
      <c r="F551" s="1" t="s">
        <v>12</v>
      </c>
      <c r="G551" s="1">
        <v>45863.205000000002</v>
      </c>
      <c r="H551" t="str">
        <f t="shared" si="8"/>
        <v>40-49</v>
      </c>
    </row>
    <row r="552" spans="1:8" ht="15.75" customHeight="1">
      <c r="A552" s="1">
        <v>63</v>
      </c>
      <c r="B552" s="1" t="s">
        <v>10</v>
      </c>
      <c r="C552" s="1">
        <v>30.8</v>
      </c>
      <c r="D552" s="1">
        <v>0</v>
      </c>
      <c r="E552" s="1" t="s">
        <v>11</v>
      </c>
      <c r="F552" s="1" t="s">
        <v>9</v>
      </c>
      <c r="G552" s="1">
        <v>13390.558999999999</v>
      </c>
      <c r="H552" t="str">
        <f t="shared" si="8"/>
        <v>60+</v>
      </c>
    </row>
    <row r="553" spans="1:8" ht="15.75" customHeight="1">
      <c r="A553" s="1">
        <v>32</v>
      </c>
      <c r="B553" s="1" t="s">
        <v>7</v>
      </c>
      <c r="C553" s="1">
        <v>28.93</v>
      </c>
      <c r="D553" s="1">
        <v>0</v>
      </c>
      <c r="E553" s="1" t="s">
        <v>11</v>
      </c>
      <c r="F553" s="1" t="s">
        <v>12</v>
      </c>
      <c r="G553" s="1">
        <v>3972.9247</v>
      </c>
      <c r="H553" t="str">
        <f t="shared" si="8"/>
        <v>30-39</v>
      </c>
    </row>
    <row r="554" spans="1:8" ht="15.75" customHeight="1">
      <c r="A554" s="1">
        <v>62</v>
      </c>
      <c r="B554" s="1" t="s">
        <v>10</v>
      </c>
      <c r="C554" s="1">
        <v>21.4</v>
      </c>
      <c r="D554" s="1">
        <v>0</v>
      </c>
      <c r="E554" s="1" t="s">
        <v>11</v>
      </c>
      <c r="F554" s="1" t="s">
        <v>9</v>
      </c>
      <c r="G554" s="1">
        <v>12957.118</v>
      </c>
      <c r="H554" t="str">
        <f t="shared" si="8"/>
        <v>60+</v>
      </c>
    </row>
    <row r="555" spans="1:8" ht="15.75" customHeight="1">
      <c r="A555" s="1">
        <v>52</v>
      </c>
      <c r="B555" s="1" t="s">
        <v>7</v>
      </c>
      <c r="C555" s="1">
        <v>31.73</v>
      </c>
      <c r="D555" s="1">
        <v>2</v>
      </c>
      <c r="E555" s="1" t="s">
        <v>11</v>
      </c>
      <c r="F555" s="1" t="s">
        <v>13</v>
      </c>
      <c r="G555" s="1">
        <v>11187.6567</v>
      </c>
      <c r="H555" t="str">
        <f t="shared" si="8"/>
        <v>50-59</v>
      </c>
    </row>
    <row r="556" spans="1:8" ht="15.75" customHeight="1">
      <c r="A556" s="1">
        <v>25</v>
      </c>
      <c r="B556" s="1" t="s">
        <v>7</v>
      </c>
      <c r="C556" s="1">
        <v>41.325000000000003</v>
      </c>
      <c r="D556" s="1">
        <v>0</v>
      </c>
      <c r="E556" s="1" t="s">
        <v>11</v>
      </c>
      <c r="F556" s="1" t="s">
        <v>14</v>
      </c>
      <c r="G556" s="1">
        <v>17878.900679999999</v>
      </c>
      <c r="H556" t="str">
        <f t="shared" si="8"/>
        <v>18-29</v>
      </c>
    </row>
    <row r="557" spans="1:8" ht="15.75" customHeight="1">
      <c r="A557" s="1">
        <v>28</v>
      </c>
      <c r="B557" s="1" t="s">
        <v>10</v>
      </c>
      <c r="C557" s="1">
        <v>23.8</v>
      </c>
      <c r="D557" s="1">
        <v>2</v>
      </c>
      <c r="E557" s="1" t="s">
        <v>11</v>
      </c>
      <c r="F557" s="1" t="s">
        <v>9</v>
      </c>
      <c r="G557" s="1">
        <v>3847.674</v>
      </c>
      <c r="H557" t="str">
        <f t="shared" si="8"/>
        <v>18-29</v>
      </c>
    </row>
    <row r="558" spans="1:8" ht="15.75" customHeight="1">
      <c r="A558" s="1">
        <v>46</v>
      </c>
      <c r="B558" s="1" t="s">
        <v>10</v>
      </c>
      <c r="C558" s="1">
        <v>33.44</v>
      </c>
      <c r="D558" s="1">
        <v>1</v>
      </c>
      <c r="E558" s="1" t="s">
        <v>11</v>
      </c>
      <c r="F558" s="1" t="s">
        <v>14</v>
      </c>
      <c r="G558" s="1">
        <v>8334.5895999999993</v>
      </c>
      <c r="H558" t="str">
        <f t="shared" si="8"/>
        <v>40-49</v>
      </c>
    </row>
    <row r="559" spans="1:8" ht="15.75" customHeight="1">
      <c r="A559" s="1">
        <v>34</v>
      </c>
      <c r="B559" s="1" t="s">
        <v>10</v>
      </c>
      <c r="C559" s="1">
        <v>34.21</v>
      </c>
      <c r="D559" s="1">
        <v>0</v>
      </c>
      <c r="E559" s="1" t="s">
        <v>11</v>
      </c>
      <c r="F559" s="1" t="s">
        <v>12</v>
      </c>
      <c r="G559" s="1">
        <v>3935.1799000000001</v>
      </c>
      <c r="H559" t="str">
        <f t="shared" si="8"/>
        <v>30-39</v>
      </c>
    </row>
    <row r="560" spans="1:8" ht="15.75" customHeight="1">
      <c r="A560" s="1">
        <v>35</v>
      </c>
      <c r="B560" s="1" t="s">
        <v>7</v>
      </c>
      <c r="C560" s="1">
        <v>34.104999999999997</v>
      </c>
      <c r="D560" s="1">
        <v>3</v>
      </c>
      <c r="E560" s="1" t="s">
        <v>8</v>
      </c>
      <c r="F560" s="1" t="s">
        <v>13</v>
      </c>
      <c r="G560" s="1">
        <v>39983.425949999997</v>
      </c>
      <c r="H560" t="str">
        <f t="shared" si="8"/>
        <v>30-39</v>
      </c>
    </row>
    <row r="561" spans="1:8" ht="15.75" customHeight="1">
      <c r="A561" s="1">
        <v>19</v>
      </c>
      <c r="B561" s="1" t="s">
        <v>10</v>
      </c>
      <c r="C561" s="1">
        <v>35.53</v>
      </c>
      <c r="D561" s="1">
        <v>0</v>
      </c>
      <c r="E561" s="1" t="s">
        <v>11</v>
      </c>
      <c r="F561" s="1" t="s">
        <v>13</v>
      </c>
      <c r="G561" s="1">
        <v>1646.4296999999999</v>
      </c>
      <c r="H561" t="str">
        <f t="shared" si="8"/>
        <v>18-29</v>
      </c>
    </row>
    <row r="562" spans="1:8" ht="15.75" customHeight="1">
      <c r="A562" s="1">
        <v>46</v>
      </c>
      <c r="B562" s="1" t="s">
        <v>7</v>
      </c>
      <c r="C562" s="1">
        <v>19.95</v>
      </c>
      <c r="D562" s="1">
        <v>2</v>
      </c>
      <c r="E562" s="1" t="s">
        <v>11</v>
      </c>
      <c r="F562" s="1" t="s">
        <v>13</v>
      </c>
      <c r="G562" s="1">
        <v>9193.8384999999998</v>
      </c>
      <c r="H562" t="str">
        <f t="shared" si="8"/>
        <v>40-49</v>
      </c>
    </row>
    <row r="563" spans="1:8" ht="15.75" customHeight="1">
      <c r="A563" s="1">
        <v>54</v>
      </c>
      <c r="B563" s="1" t="s">
        <v>7</v>
      </c>
      <c r="C563" s="1">
        <v>32.68</v>
      </c>
      <c r="D563" s="1">
        <v>0</v>
      </c>
      <c r="E563" s="1" t="s">
        <v>11</v>
      </c>
      <c r="F563" s="1" t="s">
        <v>14</v>
      </c>
      <c r="G563" s="1">
        <v>10923.933199999999</v>
      </c>
      <c r="H563" t="str">
        <f t="shared" si="8"/>
        <v>50-59</v>
      </c>
    </row>
    <row r="564" spans="1:8" ht="15.75" customHeight="1">
      <c r="A564" s="1">
        <v>27</v>
      </c>
      <c r="B564" s="1" t="s">
        <v>10</v>
      </c>
      <c r="C564" s="1">
        <v>30.5</v>
      </c>
      <c r="D564" s="1">
        <v>0</v>
      </c>
      <c r="E564" s="1" t="s">
        <v>11</v>
      </c>
      <c r="F564" s="1" t="s">
        <v>9</v>
      </c>
      <c r="G564" s="1">
        <v>2494.0219999999999</v>
      </c>
      <c r="H564" t="str">
        <f t="shared" si="8"/>
        <v>18-29</v>
      </c>
    </row>
    <row r="565" spans="1:8" ht="15.75" customHeight="1">
      <c r="A565" s="1">
        <v>50</v>
      </c>
      <c r="B565" s="1" t="s">
        <v>10</v>
      </c>
      <c r="C565" s="1">
        <v>44.77</v>
      </c>
      <c r="D565" s="1">
        <v>1</v>
      </c>
      <c r="E565" s="1" t="s">
        <v>11</v>
      </c>
      <c r="F565" s="1" t="s">
        <v>12</v>
      </c>
      <c r="G565" s="1">
        <v>9058.7302999999993</v>
      </c>
      <c r="H565" t="str">
        <f t="shared" si="8"/>
        <v>50-59</v>
      </c>
    </row>
    <row r="566" spans="1:8" ht="15.75" customHeight="1">
      <c r="A566" s="1">
        <v>18</v>
      </c>
      <c r="B566" s="1" t="s">
        <v>7</v>
      </c>
      <c r="C566" s="1">
        <v>32.119999999999997</v>
      </c>
      <c r="D566" s="1">
        <v>2</v>
      </c>
      <c r="E566" s="1" t="s">
        <v>11</v>
      </c>
      <c r="F566" s="1" t="s">
        <v>12</v>
      </c>
      <c r="G566" s="1">
        <v>2801.2588000000001</v>
      </c>
      <c r="H566" t="str">
        <f t="shared" si="8"/>
        <v>18-29</v>
      </c>
    </row>
    <row r="567" spans="1:8" ht="15.75" customHeight="1">
      <c r="A567" s="1">
        <v>19</v>
      </c>
      <c r="B567" s="1" t="s">
        <v>7</v>
      </c>
      <c r="C567" s="1">
        <v>30.495000000000001</v>
      </c>
      <c r="D567" s="1">
        <v>0</v>
      </c>
      <c r="E567" s="1" t="s">
        <v>11</v>
      </c>
      <c r="F567" s="1" t="s">
        <v>13</v>
      </c>
      <c r="G567" s="1">
        <v>2128.4310500000001</v>
      </c>
      <c r="H567" t="str">
        <f t="shared" si="8"/>
        <v>18-29</v>
      </c>
    </row>
    <row r="568" spans="1:8" ht="15.75" customHeight="1">
      <c r="A568" s="1">
        <v>38</v>
      </c>
      <c r="B568" s="1" t="s">
        <v>7</v>
      </c>
      <c r="C568" s="1">
        <v>40.564999999999998</v>
      </c>
      <c r="D568" s="1">
        <v>1</v>
      </c>
      <c r="E568" s="1" t="s">
        <v>11</v>
      </c>
      <c r="F568" s="1" t="s">
        <v>13</v>
      </c>
      <c r="G568" s="1">
        <v>6373.55735</v>
      </c>
      <c r="H568" t="str">
        <f t="shared" si="8"/>
        <v>30-39</v>
      </c>
    </row>
    <row r="569" spans="1:8" ht="15.75" customHeight="1">
      <c r="A569" s="1">
        <v>41</v>
      </c>
      <c r="B569" s="1" t="s">
        <v>10</v>
      </c>
      <c r="C569" s="1">
        <v>30.59</v>
      </c>
      <c r="D569" s="1">
        <v>2</v>
      </c>
      <c r="E569" s="1" t="s">
        <v>11</v>
      </c>
      <c r="F569" s="1" t="s">
        <v>13</v>
      </c>
      <c r="G569" s="1">
        <v>7256.7231000000002</v>
      </c>
      <c r="H569" t="str">
        <f t="shared" si="8"/>
        <v>40-49</v>
      </c>
    </row>
    <row r="570" spans="1:8" ht="15.75" customHeight="1">
      <c r="A570" s="1">
        <v>49</v>
      </c>
      <c r="B570" s="1" t="s">
        <v>7</v>
      </c>
      <c r="C570" s="1">
        <v>31.9</v>
      </c>
      <c r="D570" s="1">
        <v>5</v>
      </c>
      <c r="E570" s="1" t="s">
        <v>11</v>
      </c>
      <c r="F570" s="1" t="s">
        <v>9</v>
      </c>
      <c r="G570" s="1">
        <v>11552.904</v>
      </c>
      <c r="H570" t="str">
        <f t="shared" si="8"/>
        <v>40-49</v>
      </c>
    </row>
    <row r="571" spans="1:8" ht="15.75" customHeight="1">
      <c r="A571" s="1">
        <v>48</v>
      </c>
      <c r="B571" s="1" t="s">
        <v>10</v>
      </c>
      <c r="C571" s="1">
        <v>40.564999999999998</v>
      </c>
      <c r="D571" s="1">
        <v>2</v>
      </c>
      <c r="E571" s="1" t="s">
        <v>8</v>
      </c>
      <c r="F571" s="1" t="s">
        <v>13</v>
      </c>
      <c r="G571" s="1">
        <v>45702.022349999999</v>
      </c>
      <c r="H571" t="str">
        <f t="shared" si="8"/>
        <v>40-49</v>
      </c>
    </row>
    <row r="572" spans="1:8" ht="15.75" customHeight="1">
      <c r="A572" s="1">
        <v>31</v>
      </c>
      <c r="B572" s="1" t="s">
        <v>7</v>
      </c>
      <c r="C572" s="1">
        <v>29.1</v>
      </c>
      <c r="D572" s="1">
        <v>0</v>
      </c>
      <c r="E572" s="1" t="s">
        <v>11</v>
      </c>
      <c r="F572" s="1" t="s">
        <v>9</v>
      </c>
      <c r="G572" s="1">
        <v>3761.2919999999999</v>
      </c>
      <c r="H572" t="str">
        <f t="shared" si="8"/>
        <v>30-39</v>
      </c>
    </row>
    <row r="573" spans="1:8" ht="15.75" customHeight="1">
      <c r="A573" s="1">
        <v>18</v>
      </c>
      <c r="B573" s="1" t="s">
        <v>7</v>
      </c>
      <c r="C573" s="1">
        <v>37.29</v>
      </c>
      <c r="D573" s="1">
        <v>1</v>
      </c>
      <c r="E573" s="1" t="s">
        <v>11</v>
      </c>
      <c r="F573" s="1" t="s">
        <v>12</v>
      </c>
      <c r="G573" s="1">
        <v>2219.4450999999999</v>
      </c>
      <c r="H573" t="str">
        <f t="shared" si="8"/>
        <v>18-29</v>
      </c>
    </row>
    <row r="574" spans="1:8" ht="15.75" customHeight="1">
      <c r="A574" s="1">
        <v>30</v>
      </c>
      <c r="B574" s="1" t="s">
        <v>7</v>
      </c>
      <c r="C574" s="1">
        <v>43.12</v>
      </c>
      <c r="D574" s="1">
        <v>2</v>
      </c>
      <c r="E574" s="1" t="s">
        <v>11</v>
      </c>
      <c r="F574" s="1" t="s">
        <v>12</v>
      </c>
      <c r="G574" s="1">
        <v>4753.6368000000002</v>
      </c>
      <c r="H574" t="str">
        <f t="shared" si="8"/>
        <v>30-39</v>
      </c>
    </row>
    <row r="575" spans="1:8" ht="15.75" customHeight="1">
      <c r="A575" s="1">
        <v>62</v>
      </c>
      <c r="B575" s="1" t="s">
        <v>7</v>
      </c>
      <c r="C575" s="1">
        <v>36.86</v>
      </c>
      <c r="D575" s="1">
        <v>1</v>
      </c>
      <c r="E575" s="1" t="s">
        <v>11</v>
      </c>
      <c r="F575" s="1" t="s">
        <v>14</v>
      </c>
      <c r="G575" s="1">
        <v>31620.001059999999</v>
      </c>
      <c r="H575" t="str">
        <f t="shared" si="8"/>
        <v>60+</v>
      </c>
    </row>
    <row r="576" spans="1:8" ht="15.75" customHeight="1">
      <c r="A576" s="1">
        <v>57</v>
      </c>
      <c r="B576" s="1" t="s">
        <v>7</v>
      </c>
      <c r="C576" s="1">
        <v>34.295000000000002</v>
      </c>
      <c r="D576" s="1">
        <v>2</v>
      </c>
      <c r="E576" s="1" t="s">
        <v>11</v>
      </c>
      <c r="F576" s="1" t="s">
        <v>14</v>
      </c>
      <c r="G576" s="1">
        <v>13224.057049999999</v>
      </c>
      <c r="H576" t="str">
        <f t="shared" si="8"/>
        <v>50-59</v>
      </c>
    </row>
    <row r="577" spans="1:8" ht="15.75" customHeight="1">
      <c r="A577" s="1">
        <v>58</v>
      </c>
      <c r="B577" s="1" t="s">
        <v>7</v>
      </c>
      <c r="C577" s="1">
        <v>27.17</v>
      </c>
      <c r="D577" s="1">
        <v>0</v>
      </c>
      <c r="E577" s="1" t="s">
        <v>11</v>
      </c>
      <c r="F577" s="1" t="s">
        <v>13</v>
      </c>
      <c r="G577" s="1">
        <v>12222.898300000001</v>
      </c>
      <c r="H577" t="str">
        <f t="shared" si="8"/>
        <v>50-59</v>
      </c>
    </row>
    <row r="578" spans="1:8" ht="15.75" customHeight="1">
      <c r="A578" s="1">
        <v>22</v>
      </c>
      <c r="B578" s="1" t="s">
        <v>10</v>
      </c>
      <c r="C578" s="1">
        <v>26.84</v>
      </c>
      <c r="D578" s="1">
        <v>0</v>
      </c>
      <c r="E578" s="1" t="s">
        <v>11</v>
      </c>
      <c r="F578" s="1" t="s">
        <v>12</v>
      </c>
      <c r="G578" s="1">
        <v>1664.9996000000001</v>
      </c>
      <c r="H578" t="str">
        <f t="shared" si="8"/>
        <v>18-29</v>
      </c>
    </row>
    <row r="579" spans="1:8" ht="15.75" customHeight="1">
      <c r="A579" s="1">
        <v>31</v>
      </c>
      <c r="B579" s="1" t="s">
        <v>7</v>
      </c>
      <c r="C579" s="1">
        <v>38.094999999999999</v>
      </c>
      <c r="D579" s="1">
        <v>1</v>
      </c>
      <c r="E579" s="1" t="s">
        <v>8</v>
      </c>
      <c r="F579" s="1" t="s">
        <v>14</v>
      </c>
      <c r="G579" s="1">
        <v>58571.074480000003</v>
      </c>
      <c r="H579" t="str">
        <f t="shared" ref="H579:H642" si="9">IF(A579&lt;30,"18-29",IF(A579&lt;40,"30-39",IF(A579&lt;50,"40-49",IF(A579&lt;60,"50-59","60+"))))</f>
        <v>30-39</v>
      </c>
    </row>
    <row r="580" spans="1:8" ht="15.75" customHeight="1">
      <c r="A580" s="1">
        <v>52</v>
      </c>
      <c r="B580" s="1" t="s">
        <v>10</v>
      </c>
      <c r="C580" s="1">
        <v>30.2</v>
      </c>
      <c r="D580" s="1">
        <v>1</v>
      </c>
      <c r="E580" s="1" t="s">
        <v>11</v>
      </c>
      <c r="F580" s="1" t="s">
        <v>9</v>
      </c>
      <c r="G580" s="1">
        <v>9724.5300000000007</v>
      </c>
      <c r="H580" t="str">
        <f t="shared" si="9"/>
        <v>50-59</v>
      </c>
    </row>
    <row r="581" spans="1:8" ht="15.75" customHeight="1">
      <c r="A581" s="1">
        <v>25</v>
      </c>
      <c r="B581" s="1" t="s">
        <v>7</v>
      </c>
      <c r="C581" s="1">
        <v>23.465</v>
      </c>
      <c r="D581" s="1">
        <v>0</v>
      </c>
      <c r="E581" s="1" t="s">
        <v>11</v>
      </c>
      <c r="F581" s="1" t="s">
        <v>14</v>
      </c>
      <c r="G581" s="1">
        <v>3206.4913499999998</v>
      </c>
      <c r="H581" t="str">
        <f t="shared" si="9"/>
        <v>18-29</v>
      </c>
    </row>
    <row r="582" spans="1:8" ht="15.75" customHeight="1">
      <c r="A582" s="1">
        <v>59</v>
      </c>
      <c r="B582" s="1" t="s">
        <v>10</v>
      </c>
      <c r="C582" s="1">
        <v>25.46</v>
      </c>
      <c r="D582" s="1">
        <v>1</v>
      </c>
      <c r="E582" s="1" t="s">
        <v>11</v>
      </c>
      <c r="F582" s="1" t="s">
        <v>14</v>
      </c>
      <c r="G582" s="1">
        <v>12913.992399999999</v>
      </c>
      <c r="H582" t="str">
        <f t="shared" si="9"/>
        <v>50-59</v>
      </c>
    </row>
    <row r="583" spans="1:8" ht="15.75" customHeight="1">
      <c r="A583" s="1">
        <v>19</v>
      </c>
      <c r="B583" s="1" t="s">
        <v>10</v>
      </c>
      <c r="C583" s="1">
        <v>30.59</v>
      </c>
      <c r="D583" s="1">
        <v>0</v>
      </c>
      <c r="E583" s="1" t="s">
        <v>11</v>
      </c>
      <c r="F583" s="1" t="s">
        <v>13</v>
      </c>
      <c r="G583" s="1">
        <v>1639.5631000000001</v>
      </c>
      <c r="H583" t="str">
        <f t="shared" si="9"/>
        <v>18-29</v>
      </c>
    </row>
    <row r="584" spans="1:8" ht="15.75" customHeight="1">
      <c r="A584" s="1">
        <v>39</v>
      </c>
      <c r="B584" s="1" t="s">
        <v>10</v>
      </c>
      <c r="C584" s="1">
        <v>45.43</v>
      </c>
      <c r="D584" s="1">
        <v>2</v>
      </c>
      <c r="E584" s="1" t="s">
        <v>11</v>
      </c>
      <c r="F584" s="1" t="s">
        <v>12</v>
      </c>
      <c r="G584" s="1">
        <v>6356.2707</v>
      </c>
      <c r="H584" t="str">
        <f t="shared" si="9"/>
        <v>30-39</v>
      </c>
    </row>
    <row r="585" spans="1:8" ht="15.75" customHeight="1">
      <c r="A585" s="1">
        <v>32</v>
      </c>
      <c r="B585" s="1" t="s">
        <v>7</v>
      </c>
      <c r="C585" s="1">
        <v>23.65</v>
      </c>
      <c r="D585" s="1">
        <v>1</v>
      </c>
      <c r="E585" s="1" t="s">
        <v>11</v>
      </c>
      <c r="F585" s="1" t="s">
        <v>12</v>
      </c>
      <c r="G585" s="1">
        <v>17626.239509999999</v>
      </c>
      <c r="H585" t="str">
        <f t="shared" si="9"/>
        <v>30-39</v>
      </c>
    </row>
    <row r="586" spans="1:8" ht="15.75" customHeight="1">
      <c r="A586" s="1">
        <v>19</v>
      </c>
      <c r="B586" s="1" t="s">
        <v>10</v>
      </c>
      <c r="C586" s="1">
        <v>20.7</v>
      </c>
      <c r="D586" s="1">
        <v>0</v>
      </c>
      <c r="E586" s="1" t="s">
        <v>11</v>
      </c>
      <c r="F586" s="1" t="s">
        <v>9</v>
      </c>
      <c r="G586" s="1">
        <v>1242.816</v>
      </c>
      <c r="H586" t="str">
        <f t="shared" si="9"/>
        <v>18-29</v>
      </c>
    </row>
    <row r="587" spans="1:8" ht="15.75" customHeight="1">
      <c r="A587" s="1">
        <v>33</v>
      </c>
      <c r="B587" s="1" t="s">
        <v>7</v>
      </c>
      <c r="C587" s="1">
        <v>28.27</v>
      </c>
      <c r="D587" s="1">
        <v>1</v>
      </c>
      <c r="E587" s="1" t="s">
        <v>11</v>
      </c>
      <c r="F587" s="1" t="s">
        <v>12</v>
      </c>
      <c r="G587" s="1">
        <v>4779.6022999999996</v>
      </c>
      <c r="H587" t="str">
        <f t="shared" si="9"/>
        <v>30-39</v>
      </c>
    </row>
    <row r="588" spans="1:8" ht="15.75" customHeight="1">
      <c r="A588" s="1">
        <v>21</v>
      </c>
      <c r="B588" s="1" t="s">
        <v>10</v>
      </c>
      <c r="C588" s="1">
        <v>20.234999999999999</v>
      </c>
      <c r="D588" s="1">
        <v>3</v>
      </c>
      <c r="E588" s="1" t="s">
        <v>11</v>
      </c>
      <c r="F588" s="1" t="s">
        <v>14</v>
      </c>
      <c r="G588" s="1">
        <v>3861.2096499999998</v>
      </c>
      <c r="H588" t="str">
        <f t="shared" si="9"/>
        <v>18-29</v>
      </c>
    </row>
    <row r="589" spans="1:8" ht="15.75" customHeight="1">
      <c r="A589" s="1">
        <v>34</v>
      </c>
      <c r="B589" s="1" t="s">
        <v>7</v>
      </c>
      <c r="C589" s="1">
        <v>30.21</v>
      </c>
      <c r="D589" s="1">
        <v>1</v>
      </c>
      <c r="E589" s="1" t="s">
        <v>8</v>
      </c>
      <c r="F589" s="1" t="s">
        <v>13</v>
      </c>
      <c r="G589" s="1">
        <v>43943.876100000001</v>
      </c>
      <c r="H589" t="str">
        <f t="shared" si="9"/>
        <v>30-39</v>
      </c>
    </row>
    <row r="590" spans="1:8" ht="15.75" customHeight="1">
      <c r="A590" s="1">
        <v>61</v>
      </c>
      <c r="B590" s="1" t="s">
        <v>7</v>
      </c>
      <c r="C590" s="1">
        <v>35.909999999999997</v>
      </c>
      <c r="D590" s="1">
        <v>0</v>
      </c>
      <c r="E590" s="1" t="s">
        <v>11</v>
      </c>
      <c r="F590" s="1" t="s">
        <v>14</v>
      </c>
      <c r="G590" s="1">
        <v>13635.6379</v>
      </c>
      <c r="H590" t="str">
        <f t="shared" si="9"/>
        <v>60+</v>
      </c>
    </row>
    <row r="591" spans="1:8" ht="15.75" customHeight="1">
      <c r="A591" s="1">
        <v>38</v>
      </c>
      <c r="B591" s="1" t="s">
        <v>7</v>
      </c>
      <c r="C591" s="1">
        <v>30.69</v>
      </c>
      <c r="D591" s="1">
        <v>1</v>
      </c>
      <c r="E591" s="1" t="s">
        <v>11</v>
      </c>
      <c r="F591" s="1" t="s">
        <v>12</v>
      </c>
      <c r="G591" s="1">
        <v>5976.8311000000003</v>
      </c>
      <c r="H591" t="str">
        <f t="shared" si="9"/>
        <v>30-39</v>
      </c>
    </row>
    <row r="592" spans="1:8" ht="15.75" customHeight="1">
      <c r="A592" s="1">
        <v>58</v>
      </c>
      <c r="B592" s="1" t="s">
        <v>7</v>
      </c>
      <c r="C592" s="1">
        <v>29</v>
      </c>
      <c r="D592" s="1">
        <v>0</v>
      </c>
      <c r="E592" s="1" t="s">
        <v>11</v>
      </c>
      <c r="F592" s="1" t="s">
        <v>9</v>
      </c>
      <c r="G592" s="1">
        <v>11842.441999999999</v>
      </c>
      <c r="H592" t="str">
        <f t="shared" si="9"/>
        <v>50-59</v>
      </c>
    </row>
    <row r="593" spans="1:8" ht="15.75" customHeight="1">
      <c r="A593" s="1">
        <v>47</v>
      </c>
      <c r="B593" s="1" t="s">
        <v>10</v>
      </c>
      <c r="C593" s="1">
        <v>19.57</v>
      </c>
      <c r="D593" s="1">
        <v>1</v>
      </c>
      <c r="E593" s="1" t="s">
        <v>11</v>
      </c>
      <c r="F593" s="1" t="s">
        <v>13</v>
      </c>
      <c r="G593" s="1">
        <v>8428.0692999999992</v>
      </c>
      <c r="H593" t="str">
        <f t="shared" si="9"/>
        <v>40-49</v>
      </c>
    </row>
    <row r="594" spans="1:8" ht="15.75" customHeight="1">
      <c r="A594" s="1">
        <v>20</v>
      </c>
      <c r="B594" s="1" t="s">
        <v>10</v>
      </c>
      <c r="C594" s="1">
        <v>31.13</v>
      </c>
      <c r="D594" s="1">
        <v>2</v>
      </c>
      <c r="E594" s="1" t="s">
        <v>11</v>
      </c>
      <c r="F594" s="1" t="s">
        <v>12</v>
      </c>
      <c r="G594" s="1">
        <v>2566.4706999999999</v>
      </c>
      <c r="H594" t="str">
        <f t="shared" si="9"/>
        <v>18-29</v>
      </c>
    </row>
    <row r="595" spans="1:8" ht="15.75" customHeight="1">
      <c r="A595" s="1">
        <v>21</v>
      </c>
      <c r="B595" s="1" t="s">
        <v>7</v>
      </c>
      <c r="C595" s="1">
        <v>21.85</v>
      </c>
      <c r="D595" s="1">
        <v>1</v>
      </c>
      <c r="E595" s="1" t="s">
        <v>8</v>
      </c>
      <c r="F595" s="1" t="s">
        <v>14</v>
      </c>
      <c r="G595" s="1">
        <v>15359.104499999999</v>
      </c>
      <c r="H595" t="str">
        <f t="shared" si="9"/>
        <v>18-29</v>
      </c>
    </row>
    <row r="596" spans="1:8" ht="15.75" customHeight="1">
      <c r="A596" s="1">
        <v>41</v>
      </c>
      <c r="B596" s="1" t="s">
        <v>10</v>
      </c>
      <c r="C596" s="1">
        <v>40.26</v>
      </c>
      <c r="D596" s="1">
        <v>0</v>
      </c>
      <c r="E596" s="1" t="s">
        <v>11</v>
      </c>
      <c r="F596" s="1" t="s">
        <v>12</v>
      </c>
      <c r="G596" s="1">
        <v>5709.1643999999997</v>
      </c>
      <c r="H596" t="str">
        <f t="shared" si="9"/>
        <v>40-49</v>
      </c>
    </row>
    <row r="597" spans="1:8" ht="15.75" customHeight="1">
      <c r="A597" s="1">
        <v>46</v>
      </c>
      <c r="B597" s="1" t="s">
        <v>7</v>
      </c>
      <c r="C597" s="1">
        <v>33.725000000000001</v>
      </c>
      <c r="D597" s="1">
        <v>1</v>
      </c>
      <c r="E597" s="1" t="s">
        <v>11</v>
      </c>
      <c r="F597" s="1" t="s">
        <v>14</v>
      </c>
      <c r="G597" s="1">
        <v>8823.9857499999998</v>
      </c>
      <c r="H597" t="str">
        <f t="shared" si="9"/>
        <v>40-49</v>
      </c>
    </row>
    <row r="598" spans="1:8" ht="15.75" customHeight="1">
      <c r="A598" s="1">
        <v>42</v>
      </c>
      <c r="B598" s="1" t="s">
        <v>7</v>
      </c>
      <c r="C598" s="1">
        <v>29.48</v>
      </c>
      <c r="D598" s="1">
        <v>2</v>
      </c>
      <c r="E598" s="1" t="s">
        <v>11</v>
      </c>
      <c r="F598" s="1" t="s">
        <v>12</v>
      </c>
      <c r="G598" s="1">
        <v>7640.3091999999997</v>
      </c>
      <c r="H598" t="str">
        <f t="shared" si="9"/>
        <v>40-49</v>
      </c>
    </row>
    <row r="599" spans="1:8" ht="15.75" customHeight="1">
      <c r="A599" s="1">
        <v>34</v>
      </c>
      <c r="B599" s="1" t="s">
        <v>7</v>
      </c>
      <c r="C599" s="1">
        <v>33.25</v>
      </c>
      <c r="D599" s="1">
        <v>1</v>
      </c>
      <c r="E599" s="1" t="s">
        <v>11</v>
      </c>
      <c r="F599" s="1" t="s">
        <v>14</v>
      </c>
      <c r="G599" s="1">
        <v>5594.8455000000004</v>
      </c>
      <c r="H599" t="str">
        <f t="shared" si="9"/>
        <v>30-39</v>
      </c>
    </row>
    <row r="600" spans="1:8" ht="15.75" customHeight="1">
      <c r="A600" s="1">
        <v>43</v>
      </c>
      <c r="B600" s="1" t="s">
        <v>10</v>
      </c>
      <c r="C600" s="1">
        <v>32.6</v>
      </c>
      <c r="D600" s="1">
        <v>2</v>
      </c>
      <c r="E600" s="1" t="s">
        <v>11</v>
      </c>
      <c r="F600" s="1" t="s">
        <v>9</v>
      </c>
      <c r="G600" s="1">
        <v>7441.5010000000002</v>
      </c>
      <c r="H600" t="str">
        <f t="shared" si="9"/>
        <v>40-49</v>
      </c>
    </row>
    <row r="601" spans="1:8" ht="15.75" customHeight="1">
      <c r="A601" s="1">
        <v>52</v>
      </c>
      <c r="B601" s="1" t="s">
        <v>7</v>
      </c>
      <c r="C601" s="1">
        <v>37.524999999999999</v>
      </c>
      <c r="D601" s="1">
        <v>2</v>
      </c>
      <c r="E601" s="1" t="s">
        <v>11</v>
      </c>
      <c r="F601" s="1" t="s">
        <v>13</v>
      </c>
      <c r="G601" s="1">
        <v>33471.971890000001</v>
      </c>
      <c r="H601" t="str">
        <f t="shared" si="9"/>
        <v>50-59</v>
      </c>
    </row>
    <row r="602" spans="1:8" ht="15.75" customHeight="1">
      <c r="A602" s="1">
        <v>18</v>
      </c>
      <c r="B602" s="1" t="s">
        <v>7</v>
      </c>
      <c r="C602" s="1">
        <v>39.159999999999997</v>
      </c>
      <c r="D602" s="1">
        <v>0</v>
      </c>
      <c r="E602" s="1" t="s">
        <v>11</v>
      </c>
      <c r="F602" s="1" t="s">
        <v>12</v>
      </c>
      <c r="G602" s="1">
        <v>1633.0444</v>
      </c>
      <c r="H602" t="str">
        <f t="shared" si="9"/>
        <v>18-29</v>
      </c>
    </row>
    <row r="603" spans="1:8" ht="15.75" customHeight="1">
      <c r="A603" s="1">
        <v>51</v>
      </c>
      <c r="B603" s="1" t="s">
        <v>10</v>
      </c>
      <c r="C603" s="1">
        <v>31.635000000000002</v>
      </c>
      <c r="D603" s="1">
        <v>0</v>
      </c>
      <c r="E603" s="1" t="s">
        <v>11</v>
      </c>
      <c r="F603" s="1" t="s">
        <v>13</v>
      </c>
      <c r="G603" s="1">
        <v>9174.1356500000002</v>
      </c>
      <c r="H603" t="str">
        <f t="shared" si="9"/>
        <v>50-59</v>
      </c>
    </row>
    <row r="604" spans="1:8" ht="15.75" customHeight="1">
      <c r="A604" s="1">
        <v>56</v>
      </c>
      <c r="B604" s="1" t="s">
        <v>7</v>
      </c>
      <c r="C604" s="1">
        <v>25.3</v>
      </c>
      <c r="D604" s="1">
        <v>0</v>
      </c>
      <c r="E604" s="1" t="s">
        <v>11</v>
      </c>
      <c r="F604" s="1" t="s">
        <v>9</v>
      </c>
      <c r="G604" s="1">
        <v>11070.535</v>
      </c>
      <c r="H604" t="str">
        <f t="shared" si="9"/>
        <v>50-59</v>
      </c>
    </row>
    <row r="605" spans="1:8" ht="15.75" customHeight="1">
      <c r="A605" s="1">
        <v>64</v>
      </c>
      <c r="B605" s="1" t="s">
        <v>7</v>
      </c>
      <c r="C605" s="1">
        <v>39.049999999999997</v>
      </c>
      <c r="D605" s="1">
        <v>3</v>
      </c>
      <c r="E605" s="1" t="s">
        <v>11</v>
      </c>
      <c r="F605" s="1" t="s">
        <v>12</v>
      </c>
      <c r="G605" s="1">
        <v>16085.127500000001</v>
      </c>
      <c r="H605" t="str">
        <f t="shared" si="9"/>
        <v>60+</v>
      </c>
    </row>
    <row r="606" spans="1:8" ht="15.75" customHeight="1">
      <c r="A606" s="1">
        <v>19</v>
      </c>
      <c r="B606" s="1" t="s">
        <v>7</v>
      </c>
      <c r="C606" s="1">
        <v>28.31</v>
      </c>
      <c r="D606" s="1">
        <v>0</v>
      </c>
      <c r="E606" s="1" t="s">
        <v>8</v>
      </c>
      <c r="F606" s="1" t="s">
        <v>13</v>
      </c>
      <c r="G606" s="1">
        <v>17468.983899999999</v>
      </c>
      <c r="H606" t="str">
        <f t="shared" si="9"/>
        <v>18-29</v>
      </c>
    </row>
    <row r="607" spans="1:8" ht="15.75" customHeight="1">
      <c r="A607" s="1">
        <v>51</v>
      </c>
      <c r="B607" s="1" t="s">
        <v>7</v>
      </c>
      <c r="C607" s="1">
        <v>34.1</v>
      </c>
      <c r="D607" s="1">
        <v>0</v>
      </c>
      <c r="E607" s="1" t="s">
        <v>11</v>
      </c>
      <c r="F607" s="1" t="s">
        <v>12</v>
      </c>
      <c r="G607" s="1">
        <v>9283.5619999999999</v>
      </c>
      <c r="H607" t="str">
        <f t="shared" si="9"/>
        <v>50-59</v>
      </c>
    </row>
    <row r="608" spans="1:8" ht="15.75" customHeight="1">
      <c r="A608" s="1">
        <v>27</v>
      </c>
      <c r="B608" s="1" t="s">
        <v>7</v>
      </c>
      <c r="C608" s="1">
        <v>25.175000000000001</v>
      </c>
      <c r="D608" s="1">
        <v>0</v>
      </c>
      <c r="E608" s="1" t="s">
        <v>11</v>
      </c>
      <c r="F608" s="1" t="s">
        <v>14</v>
      </c>
      <c r="G608" s="1">
        <v>3558.6202499999999</v>
      </c>
      <c r="H608" t="str">
        <f t="shared" si="9"/>
        <v>18-29</v>
      </c>
    </row>
    <row r="609" spans="1:8" ht="15.75" customHeight="1">
      <c r="A609" s="1">
        <v>59</v>
      </c>
      <c r="B609" s="1" t="s">
        <v>7</v>
      </c>
      <c r="C609" s="1">
        <v>23.655000000000001</v>
      </c>
      <c r="D609" s="1">
        <v>0</v>
      </c>
      <c r="E609" s="1" t="s">
        <v>8</v>
      </c>
      <c r="F609" s="1" t="s">
        <v>13</v>
      </c>
      <c r="G609" s="1">
        <v>25678.778450000002</v>
      </c>
      <c r="H609" t="str">
        <f t="shared" si="9"/>
        <v>50-59</v>
      </c>
    </row>
    <row r="610" spans="1:8" ht="15.75" customHeight="1">
      <c r="A610" s="1">
        <v>28</v>
      </c>
      <c r="B610" s="1" t="s">
        <v>10</v>
      </c>
      <c r="C610" s="1">
        <v>26.98</v>
      </c>
      <c r="D610" s="1">
        <v>2</v>
      </c>
      <c r="E610" s="1" t="s">
        <v>11</v>
      </c>
      <c r="F610" s="1" t="s">
        <v>14</v>
      </c>
      <c r="G610" s="1">
        <v>4435.0941999999995</v>
      </c>
      <c r="H610" t="str">
        <f t="shared" si="9"/>
        <v>18-29</v>
      </c>
    </row>
    <row r="611" spans="1:8" ht="15.75" customHeight="1">
      <c r="A611" s="1">
        <v>30</v>
      </c>
      <c r="B611" s="1" t="s">
        <v>10</v>
      </c>
      <c r="C611" s="1">
        <v>37.799999999999997</v>
      </c>
      <c r="D611" s="1">
        <v>2</v>
      </c>
      <c r="E611" s="1" t="s">
        <v>8</v>
      </c>
      <c r="F611" s="1" t="s">
        <v>9</v>
      </c>
      <c r="G611" s="1">
        <v>39241.442000000003</v>
      </c>
      <c r="H611" t="str">
        <f t="shared" si="9"/>
        <v>30-39</v>
      </c>
    </row>
    <row r="612" spans="1:8" ht="15.75" customHeight="1">
      <c r="A612" s="1">
        <v>47</v>
      </c>
      <c r="B612" s="1" t="s">
        <v>7</v>
      </c>
      <c r="C612" s="1">
        <v>29.37</v>
      </c>
      <c r="D612" s="1">
        <v>1</v>
      </c>
      <c r="E612" s="1" t="s">
        <v>11</v>
      </c>
      <c r="F612" s="1" t="s">
        <v>12</v>
      </c>
      <c r="G612" s="1">
        <v>8547.6913000000004</v>
      </c>
      <c r="H612" t="str">
        <f t="shared" si="9"/>
        <v>40-49</v>
      </c>
    </row>
    <row r="613" spans="1:8" ht="15.75" customHeight="1">
      <c r="A613" s="1">
        <v>38</v>
      </c>
      <c r="B613" s="1" t="s">
        <v>7</v>
      </c>
      <c r="C613" s="1">
        <v>34.799999999999997</v>
      </c>
      <c r="D613" s="1">
        <v>2</v>
      </c>
      <c r="E613" s="1" t="s">
        <v>11</v>
      </c>
      <c r="F613" s="1" t="s">
        <v>9</v>
      </c>
      <c r="G613" s="1">
        <v>6571.5439999999999</v>
      </c>
      <c r="H613" t="str">
        <f t="shared" si="9"/>
        <v>30-39</v>
      </c>
    </row>
    <row r="614" spans="1:8" ht="15.75" customHeight="1">
      <c r="A614" s="1">
        <v>18</v>
      </c>
      <c r="B614" s="1" t="s">
        <v>7</v>
      </c>
      <c r="C614" s="1">
        <v>33.155000000000001</v>
      </c>
      <c r="D614" s="1">
        <v>0</v>
      </c>
      <c r="E614" s="1" t="s">
        <v>11</v>
      </c>
      <c r="F614" s="1" t="s">
        <v>14</v>
      </c>
      <c r="G614" s="1">
        <v>2207.6974500000001</v>
      </c>
      <c r="H614" t="str">
        <f t="shared" si="9"/>
        <v>18-29</v>
      </c>
    </row>
    <row r="615" spans="1:8" ht="15.75" customHeight="1">
      <c r="A615" s="1">
        <v>34</v>
      </c>
      <c r="B615" s="1" t="s">
        <v>7</v>
      </c>
      <c r="C615" s="1">
        <v>19</v>
      </c>
      <c r="D615" s="1">
        <v>3</v>
      </c>
      <c r="E615" s="1" t="s">
        <v>11</v>
      </c>
      <c r="F615" s="1" t="s">
        <v>14</v>
      </c>
      <c r="G615" s="1">
        <v>6753.0379999999996</v>
      </c>
      <c r="H615" t="str">
        <f t="shared" si="9"/>
        <v>30-39</v>
      </c>
    </row>
    <row r="616" spans="1:8" ht="15.75" customHeight="1">
      <c r="A616" s="1">
        <v>20</v>
      </c>
      <c r="B616" s="1" t="s">
        <v>7</v>
      </c>
      <c r="C616" s="1">
        <v>33</v>
      </c>
      <c r="D616" s="1">
        <v>0</v>
      </c>
      <c r="E616" s="1" t="s">
        <v>11</v>
      </c>
      <c r="F616" s="1" t="s">
        <v>12</v>
      </c>
      <c r="G616" s="1">
        <v>1880.07</v>
      </c>
      <c r="H616" t="str">
        <f t="shared" si="9"/>
        <v>18-29</v>
      </c>
    </row>
    <row r="617" spans="1:8" ht="15.75" customHeight="1">
      <c r="A617" s="1">
        <v>47</v>
      </c>
      <c r="B617" s="1" t="s">
        <v>7</v>
      </c>
      <c r="C617" s="1">
        <v>36.630000000000003</v>
      </c>
      <c r="D617" s="1">
        <v>1</v>
      </c>
      <c r="E617" s="1" t="s">
        <v>8</v>
      </c>
      <c r="F617" s="1" t="s">
        <v>12</v>
      </c>
      <c r="G617" s="1">
        <v>42969.852700000003</v>
      </c>
      <c r="H617" t="str">
        <f t="shared" si="9"/>
        <v>40-49</v>
      </c>
    </row>
    <row r="618" spans="1:8" ht="15.75" customHeight="1">
      <c r="A618" s="1">
        <v>56</v>
      </c>
      <c r="B618" s="1" t="s">
        <v>7</v>
      </c>
      <c r="C618" s="1">
        <v>28.594999999999999</v>
      </c>
      <c r="D618" s="1">
        <v>0</v>
      </c>
      <c r="E618" s="1" t="s">
        <v>11</v>
      </c>
      <c r="F618" s="1" t="s">
        <v>14</v>
      </c>
      <c r="G618" s="1">
        <v>11658.11505</v>
      </c>
      <c r="H618" t="str">
        <f t="shared" si="9"/>
        <v>50-59</v>
      </c>
    </row>
    <row r="619" spans="1:8" ht="15.75" customHeight="1">
      <c r="A619" s="1">
        <v>49</v>
      </c>
      <c r="B619" s="1" t="s">
        <v>10</v>
      </c>
      <c r="C619" s="1">
        <v>25.6</v>
      </c>
      <c r="D619" s="1">
        <v>2</v>
      </c>
      <c r="E619" s="1" t="s">
        <v>8</v>
      </c>
      <c r="F619" s="1" t="s">
        <v>9</v>
      </c>
      <c r="G619" s="1">
        <v>23306.546999999999</v>
      </c>
      <c r="H619" t="str">
        <f t="shared" si="9"/>
        <v>40-49</v>
      </c>
    </row>
    <row r="620" spans="1:8" ht="15.75" customHeight="1">
      <c r="A620" s="1">
        <v>19</v>
      </c>
      <c r="B620" s="1" t="s">
        <v>7</v>
      </c>
      <c r="C620" s="1">
        <v>33.11</v>
      </c>
      <c r="D620" s="1">
        <v>0</v>
      </c>
      <c r="E620" s="1" t="s">
        <v>8</v>
      </c>
      <c r="F620" s="1" t="s">
        <v>12</v>
      </c>
      <c r="G620" s="1">
        <v>34439.855900000002</v>
      </c>
      <c r="H620" t="str">
        <f t="shared" si="9"/>
        <v>18-29</v>
      </c>
    </row>
    <row r="621" spans="1:8" ht="15.75" customHeight="1">
      <c r="A621" s="1">
        <v>55</v>
      </c>
      <c r="B621" s="1" t="s">
        <v>7</v>
      </c>
      <c r="C621" s="1">
        <v>37.1</v>
      </c>
      <c r="D621" s="1">
        <v>0</v>
      </c>
      <c r="E621" s="1" t="s">
        <v>11</v>
      </c>
      <c r="F621" s="1" t="s">
        <v>9</v>
      </c>
      <c r="G621" s="1">
        <v>10713.644</v>
      </c>
      <c r="H621" t="str">
        <f t="shared" si="9"/>
        <v>50-59</v>
      </c>
    </row>
    <row r="622" spans="1:8" ht="15.75" customHeight="1">
      <c r="A622" s="1">
        <v>30</v>
      </c>
      <c r="B622" s="1" t="s">
        <v>10</v>
      </c>
      <c r="C622" s="1">
        <v>31.4</v>
      </c>
      <c r="D622" s="1">
        <v>1</v>
      </c>
      <c r="E622" s="1" t="s">
        <v>11</v>
      </c>
      <c r="F622" s="1" t="s">
        <v>9</v>
      </c>
      <c r="G622" s="1">
        <v>3659.346</v>
      </c>
      <c r="H622" t="str">
        <f t="shared" si="9"/>
        <v>30-39</v>
      </c>
    </row>
    <row r="623" spans="1:8" ht="15.75" customHeight="1">
      <c r="A623" s="1">
        <v>37</v>
      </c>
      <c r="B623" s="1" t="s">
        <v>10</v>
      </c>
      <c r="C623" s="1">
        <v>34.1</v>
      </c>
      <c r="D623" s="1">
        <v>4</v>
      </c>
      <c r="E623" s="1" t="s">
        <v>8</v>
      </c>
      <c r="F623" s="1" t="s">
        <v>9</v>
      </c>
      <c r="G623" s="1">
        <v>40182.245999999999</v>
      </c>
      <c r="H623" t="str">
        <f t="shared" si="9"/>
        <v>30-39</v>
      </c>
    </row>
    <row r="624" spans="1:8" ht="15.75" customHeight="1">
      <c r="A624" s="1">
        <v>49</v>
      </c>
      <c r="B624" s="1" t="s">
        <v>7</v>
      </c>
      <c r="C624" s="1">
        <v>21.3</v>
      </c>
      <c r="D624" s="1">
        <v>1</v>
      </c>
      <c r="E624" s="1" t="s">
        <v>11</v>
      </c>
      <c r="F624" s="1" t="s">
        <v>9</v>
      </c>
      <c r="G624" s="1">
        <v>9182.17</v>
      </c>
      <c r="H624" t="str">
        <f t="shared" si="9"/>
        <v>40-49</v>
      </c>
    </row>
    <row r="625" spans="1:8" ht="15.75" customHeight="1">
      <c r="A625" s="1">
        <v>18</v>
      </c>
      <c r="B625" s="1" t="s">
        <v>10</v>
      </c>
      <c r="C625" s="1">
        <v>33.534999999999997</v>
      </c>
      <c r="D625" s="1">
        <v>0</v>
      </c>
      <c r="E625" s="1" t="s">
        <v>8</v>
      </c>
      <c r="F625" s="1" t="s">
        <v>14</v>
      </c>
      <c r="G625" s="1">
        <v>34617.840649999998</v>
      </c>
      <c r="H625" t="str">
        <f t="shared" si="9"/>
        <v>18-29</v>
      </c>
    </row>
    <row r="626" spans="1:8" ht="15.75" customHeight="1">
      <c r="A626" s="1">
        <v>59</v>
      </c>
      <c r="B626" s="1" t="s">
        <v>10</v>
      </c>
      <c r="C626" s="1">
        <v>28.785</v>
      </c>
      <c r="D626" s="1">
        <v>0</v>
      </c>
      <c r="E626" s="1" t="s">
        <v>11</v>
      </c>
      <c r="F626" s="1" t="s">
        <v>13</v>
      </c>
      <c r="G626" s="1">
        <v>12129.614149999999</v>
      </c>
      <c r="H626" t="str">
        <f t="shared" si="9"/>
        <v>50-59</v>
      </c>
    </row>
    <row r="627" spans="1:8" ht="15.75" customHeight="1">
      <c r="A627" s="1">
        <v>29</v>
      </c>
      <c r="B627" s="1" t="s">
        <v>7</v>
      </c>
      <c r="C627" s="1">
        <v>26.03</v>
      </c>
      <c r="D627" s="1">
        <v>0</v>
      </c>
      <c r="E627" s="1" t="s">
        <v>11</v>
      </c>
      <c r="F627" s="1" t="s">
        <v>13</v>
      </c>
      <c r="G627" s="1">
        <v>3736.4647</v>
      </c>
      <c r="H627" t="str">
        <f t="shared" si="9"/>
        <v>18-29</v>
      </c>
    </row>
    <row r="628" spans="1:8" ht="15.75" customHeight="1">
      <c r="A628" s="1">
        <v>36</v>
      </c>
      <c r="B628" s="1" t="s">
        <v>10</v>
      </c>
      <c r="C628" s="1">
        <v>28.88</v>
      </c>
      <c r="D628" s="1">
        <v>3</v>
      </c>
      <c r="E628" s="1" t="s">
        <v>11</v>
      </c>
      <c r="F628" s="1" t="s">
        <v>14</v>
      </c>
      <c r="G628" s="1">
        <v>6748.5911999999998</v>
      </c>
      <c r="H628" t="str">
        <f t="shared" si="9"/>
        <v>30-39</v>
      </c>
    </row>
    <row r="629" spans="1:8" ht="15.75" customHeight="1">
      <c r="A629" s="1">
        <v>33</v>
      </c>
      <c r="B629" s="1" t="s">
        <v>10</v>
      </c>
      <c r="C629" s="1">
        <v>42.46</v>
      </c>
      <c r="D629" s="1">
        <v>1</v>
      </c>
      <c r="E629" s="1" t="s">
        <v>11</v>
      </c>
      <c r="F629" s="1" t="s">
        <v>12</v>
      </c>
      <c r="G629" s="1">
        <v>11326.71487</v>
      </c>
      <c r="H629" t="str">
        <f t="shared" si="9"/>
        <v>30-39</v>
      </c>
    </row>
    <row r="630" spans="1:8" ht="15.75" customHeight="1">
      <c r="A630" s="1">
        <v>58</v>
      </c>
      <c r="B630" s="1" t="s">
        <v>10</v>
      </c>
      <c r="C630" s="1">
        <v>38</v>
      </c>
      <c r="D630" s="1">
        <v>0</v>
      </c>
      <c r="E630" s="1" t="s">
        <v>11</v>
      </c>
      <c r="F630" s="1" t="s">
        <v>9</v>
      </c>
      <c r="G630" s="1">
        <v>11365.951999999999</v>
      </c>
      <c r="H630" t="str">
        <f t="shared" si="9"/>
        <v>50-59</v>
      </c>
    </row>
    <row r="631" spans="1:8" ht="15.75" customHeight="1">
      <c r="A631" s="1">
        <v>44</v>
      </c>
      <c r="B631" s="1" t="s">
        <v>7</v>
      </c>
      <c r="C631" s="1">
        <v>38.950000000000003</v>
      </c>
      <c r="D631" s="1">
        <v>0</v>
      </c>
      <c r="E631" s="1" t="s">
        <v>8</v>
      </c>
      <c r="F631" s="1" t="s">
        <v>13</v>
      </c>
      <c r="G631" s="1">
        <v>42983.458500000001</v>
      </c>
      <c r="H631" t="str">
        <f t="shared" si="9"/>
        <v>40-49</v>
      </c>
    </row>
    <row r="632" spans="1:8" ht="15.75" customHeight="1">
      <c r="A632" s="1">
        <v>53</v>
      </c>
      <c r="B632" s="1" t="s">
        <v>10</v>
      </c>
      <c r="C632" s="1">
        <v>36.1</v>
      </c>
      <c r="D632" s="1">
        <v>1</v>
      </c>
      <c r="E632" s="1" t="s">
        <v>11</v>
      </c>
      <c r="F632" s="1" t="s">
        <v>9</v>
      </c>
      <c r="G632" s="1">
        <v>10085.846</v>
      </c>
      <c r="H632" t="str">
        <f t="shared" si="9"/>
        <v>50-59</v>
      </c>
    </row>
    <row r="633" spans="1:8" ht="15.75" customHeight="1">
      <c r="A633" s="1">
        <v>24</v>
      </c>
      <c r="B633" s="1" t="s">
        <v>10</v>
      </c>
      <c r="C633" s="1">
        <v>29.3</v>
      </c>
      <c r="D633" s="1">
        <v>0</v>
      </c>
      <c r="E633" s="1" t="s">
        <v>11</v>
      </c>
      <c r="F633" s="1" t="s">
        <v>9</v>
      </c>
      <c r="G633" s="1">
        <v>1977.8150000000001</v>
      </c>
      <c r="H633" t="str">
        <f t="shared" si="9"/>
        <v>18-29</v>
      </c>
    </row>
    <row r="634" spans="1:8" ht="15.75" customHeight="1">
      <c r="A634" s="1">
        <v>29</v>
      </c>
      <c r="B634" s="1" t="s">
        <v>7</v>
      </c>
      <c r="C634" s="1">
        <v>35.53</v>
      </c>
      <c r="D634" s="1">
        <v>0</v>
      </c>
      <c r="E634" s="1" t="s">
        <v>11</v>
      </c>
      <c r="F634" s="1" t="s">
        <v>12</v>
      </c>
      <c r="G634" s="1">
        <v>3366.6696999999999</v>
      </c>
      <c r="H634" t="str">
        <f t="shared" si="9"/>
        <v>18-29</v>
      </c>
    </row>
    <row r="635" spans="1:8" ht="15.75" customHeight="1">
      <c r="A635" s="1">
        <v>40</v>
      </c>
      <c r="B635" s="1" t="s">
        <v>10</v>
      </c>
      <c r="C635" s="1">
        <v>22.704999999999998</v>
      </c>
      <c r="D635" s="1">
        <v>2</v>
      </c>
      <c r="E635" s="1" t="s">
        <v>11</v>
      </c>
      <c r="F635" s="1" t="s">
        <v>14</v>
      </c>
      <c r="G635" s="1">
        <v>7173.35995</v>
      </c>
      <c r="H635" t="str">
        <f t="shared" si="9"/>
        <v>40-49</v>
      </c>
    </row>
    <row r="636" spans="1:8" ht="15.75" customHeight="1">
      <c r="A636" s="1">
        <v>51</v>
      </c>
      <c r="B636" s="1" t="s">
        <v>10</v>
      </c>
      <c r="C636" s="1">
        <v>39.700000000000003</v>
      </c>
      <c r="D636" s="1">
        <v>1</v>
      </c>
      <c r="E636" s="1" t="s">
        <v>11</v>
      </c>
      <c r="F636" s="1" t="s">
        <v>9</v>
      </c>
      <c r="G636" s="1">
        <v>9391.3459999999995</v>
      </c>
      <c r="H636" t="str">
        <f t="shared" si="9"/>
        <v>50-59</v>
      </c>
    </row>
    <row r="637" spans="1:8" ht="15.75" customHeight="1">
      <c r="A637" s="1">
        <v>64</v>
      </c>
      <c r="B637" s="1" t="s">
        <v>10</v>
      </c>
      <c r="C637" s="1">
        <v>38.19</v>
      </c>
      <c r="D637" s="1">
        <v>0</v>
      </c>
      <c r="E637" s="1" t="s">
        <v>11</v>
      </c>
      <c r="F637" s="1" t="s">
        <v>14</v>
      </c>
      <c r="G637" s="1">
        <v>14410.9321</v>
      </c>
      <c r="H637" t="str">
        <f t="shared" si="9"/>
        <v>60+</v>
      </c>
    </row>
    <row r="638" spans="1:8" ht="15.75" customHeight="1">
      <c r="A638" s="1">
        <v>19</v>
      </c>
      <c r="B638" s="1" t="s">
        <v>7</v>
      </c>
      <c r="C638" s="1">
        <v>24.51</v>
      </c>
      <c r="D638" s="1">
        <v>1</v>
      </c>
      <c r="E638" s="1" t="s">
        <v>11</v>
      </c>
      <c r="F638" s="1" t="s">
        <v>13</v>
      </c>
      <c r="G638" s="1">
        <v>2709.1118999999999</v>
      </c>
      <c r="H638" t="str">
        <f t="shared" si="9"/>
        <v>18-29</v>
      </c>
    </row>
    <row r="639" spans="1:8" ht="15.75" customHeight="1">
      <c r="A639" s="1">
        <v>35</v>
      </c>
      <c r="B639" s="1" t="s">
        <v>7</v>
      </c>
      <c r="C639" s="1">
        <v>38.094999999999999</v>
      </c>
      <c r="D639" s="1">
        <v>2</v>
      </c>
      <c r="E639" s="1" t="s">
        <v>11</v>
      </c>
      <c r="F639" s="1" t="s">
        <v>14</v>
      </c>
      <c r="G639" s="1">
        <v>24915.046259999999</v>
      </c>
      <c r="H639" t="str">
        <f t="shared" si="9"/>
        <v>30-39</v>
      </c>
    </row>
    <row r="640" spans="1:8" ht="15.75" customHeight="1">
      <c r="A640" s="1">
        <v>39</v>
      </c>
      <c r="B640" s="1" t="s">
        <v>10</v>
      </c>
      <c r="C640" s="1">
        <v>26.41</v>
      </c>
      <c r="D640" s="1">
        <v>0</v>
      </c>
      <c r="E640" s="1" t="s">
        <v>8</v>
      </c>
      <c r="F640" s="1" t="s">
        <v>14</v>
      </c>
      <c r="G640" s="1">
        <v>20149.322899999999</v>
      </c>
      <c r="H640" t="str">
        <f t="shared" si="9"/>
        <v>30-39</v>
      </c>
    </row>
    <row r="641" spans="1:8" ht="15.75" customHeight="1">
      <c r="A641" s="1">
        <v>56</v>
      </c>
      <c r="B641" s="1" t="s">
        <v>10</v>
      </c>
      <c r="C641" s="1">
        <v>33.659999999999997</v>
      </c>
      <c r="D641" s="1">
        <v>4</v>
      </c>
      <c r="E641" s="1" t="s">
        <v>11</v>
      </c>
      <c r="F641" s="1" t="s">
        <v>12</v>
      </c>
      <c r="G641" s="1">
        <v>12949.1554</v>
      </c>
      <c r="H641" t="str">
        <f t="shared" si="9"/>
        <v>50-59</v>
      </c>
    </row>
    <row r="642" spans="1:8" ht="15.75" customHeight="1">
      <c r="A642" s="1">
        <v>33</v>
      </c>
      <c r="B642" s="1" t="s">
        <v>10</v>
      </c>
      <c r="C642" s="1">
        <v>42.4</v>
      </c>
      <c r="D642" s="1">
        <v>5</v>
      </c>
      <c r="E642" s="1" t="s">
        <v>11</v>
      </c>
      <c r="F642" s="1" t="s">
        <v>9</v>
      </c>
      <c r="G642" s="1">
        <v>6666.2430000000004</v>
      </c>
      <c r="H642" t="str">
        <f t="shared" si="9"/>
        <v>30-39</v>
      </c>
    </row>
    <row r="643" spans="1:8" ht="15.75" customHeight="1">
      <c r="A643" s="1">
        <v>42</v>
      </c>
      <c r="B643" s="1" t="s">
        <v>10</v>
      </c>
      <c r="C643" s="1">
        <v>28.31</v>
      </c>
      <c r="D643" s="1">
        <v>3</v>
      </c>
      <c r="E643" s="1" t="s">
        <v>8</v>
      </c>
      <c r="F643" s="1" t="s">
        <v>13</v>
      </c>
      <c r="G643" s="1">
        <v>32787.458590000002</v>
      </c>
      <c r="H643" t="str">
        <f t="shared" ref="H643:H706" si="10">IF(A643&lt;30,"18-29",IF(A643&lt;40,"30-39",IF(A643&lt;50,"40-49",IF(A643&lt;60,"50-59","60+"))))</f>
        <v>40-49</v>
      </c>
    </row>
    <row r="644" spans="1:8" ht="15.75" customHeight="1">
      <c r="A644" s="1">
        <v>61</v>
      </c>
      <c r="B644" s="1" t="s">
        <v>10</v>
      </c>
      <c r="C644" s="1">
        <v>33.914999999999999</v>
      </c>
      <c r="D644" s="1">
        <v>0</v>
      </c>
      <c r="E644" s="1" t="s">
        <v>11</v>
      </c>
      <c r="F644" s="1" t="s">
        <v>14</v>
      </c>
      <c r="G644" s="1">
        <v>13143.86485</v>
      </c>
      <c r="H644" t="str">
        <f t="shared" si="10"/>
        <v>60+</v>
      </c>
    </row>
    <row r="645" spans="1:8" ht="15.75" customHeight="1">
      <c r="A645" s="1">
        <v>23</v>
      </c>
      <c r="B645" s="1" t="s">
        <v>7</v>
      </c>
      <c r="C645" s="1">
        <v>34.96</v>
      </c>
      <c r="D645" s="1">
        <v>3</v>
      </c>
      <c r="E645" s="1" t="s">
        <v>11</v>
      </c>
      <c r="F645" s="1" t="s">
        <v>13</v>
      </c>
      <c r="G645" s="1">
        <v>4466.6214</v>
      </c>
      <c r="H645" t="str">
        <f t="shared" si="10"/>
        <v>18-29</v>
      </c>
    </row>
    <row r="646" spans="1:8" ht="15.75" customHeight="1">
      <c r="A646" s="1">
        <v>43</v>
      </c>
      <c r="B646" s="1" t="s">
        <v>10</v>
      </c>
      <c r="C646" s="1">
        <v>35.31</v>
      </c>
      <c r="D646" s="1">
        <v>2</v>
      </c>
      <c r="E646" s="1" t="s">
        <v>11</v>
      </c>
      <c r="F646" s="1" t="s">
        <v>12</v>
      </c>
      <c r="G646" s="1">
        <v>18806.145469999999</v>
      </c>
      <c r="H646" t="str">
        <f t="shared" si="10"/>
        <v>40-49</v>
      </c>
    </row>
    <row r="647" spans="1:8" ht="15.75" customHeight="1">
      <c r="A647" s="1">
        <v>48</v>
      </c>
      <c r="B647" s="1" t="s">
        <v>10</v>
      </c>
      <c r="C647" s="1">
        <v>30.78</v>
      </c>
      <c r="D647" s="1">
        <v>3</v>
      </c>
      <c r="E647" s="1" t="s">
        <v>11</v>
      </c>
      <c r="F647" s="1" t="s">
        <v>14</v>
      </c>
      <c r="G647" s="1">
        <v>10141.136200000001</v>
      </c>
      <c r="H647" t="str">
        <f t="shared" si="10"/>
        <v>40-49</v>
      </c>
    </row>
    <row r="648" spans="1:8" ht="15.75" customHeight="1">
      <c r="A648" s="1">
        <v>39</v>
      </c>
      <c r="B648" s="1" t="s">
        <v>10</v>
      </c>
      <c r="C648" s="1">
        <v>26.22</v>
      </c>
      <c r="D648" s="1">
        <v>1</v>
      </c>
      <c r="E648" s="1" t="s">
        <v>11</v>
      </c>
      <c r="F648" s="1" t="s">
        <v>13</v>
      </c>
      <c r="G648" s="1">
        <v>6123.5688</v>
      </c>
      <c r="H648" t="str">
        <f t="shared" si="10"/>
        <v>30-39</v>
      </c>
    </row>
    <row r="649" spans="1:8" ht="15.75" customHeight="1">
      <c r="A649" s="1">
        <v>40</v>
      </c>
      <c r="B649" s="1" t="s">
        <v>7</v>
      </c>
      <c r="C649" s="1">
        <v>23.37</v>
      </c>
      <c r="D649" s="1">
        <v>3</v>
      </c>
      <c r="E649" s="1" t="s">
        <v>11</v>
      </c>
      <c r="F649" s="1" t="s">
        <v>14</v>
      </c>
      <c r="G649" s="1">
        <v>8252.2842999999993</v>
      </c>
      <c r="H649" t="str">
        <f t="shared" si="10"/>
        <v>40-49</v>
      </c>
    </row>
    <row r="650" spans="1:8" ht="15.75" customHeight="1">
      <c r="A650" s="1">
        <v>18</v>
      </c>
      <c r="B650" s="1" t="s">
        <v>10</v>
      </c>
      <c r="C650" s="1">
        <v>28.5</v>
      </c>
      <c r="D650" s="1">
        <v>0</v>
      </c>
      <c r="E650" s="1" t="s">
        <v>11</v>
      </c>
      <c r="F650" s="1" t="s">
        <v>14</v>
      </c>
      <c r="G650" s="1">
        <v>1712.2270000000001</v>
      </c>
      <c r="H650" t="str">
        <f t="shared" si="10"/>
        <v>18-29</v>
      </c>
    </row>
    <row r="651" spans="1:8" ht="15.75" customHeight="1">
      <c r="A651" s="1">
        <v>58</v>
      </c>
      <c r="B651" s="1" t="s">
        <v>7</v>
      </c>
      <c r="C651" s="1">
        <v>32.965000000000003</v>
      </c>
      <c r="D651" s="1">
        <v>0</v>
      </c>
      <c r="E651" s="1" t="s">
        <v>11</v>
      </c>
      <c r="F651" s="1" t="s">
        <v>14</v>
      </c>
      <c r="G651" s="1">
        <v>12430.95335</v>
      </c>
      <c r="H651" t="str">
        <f t="shared" si="10"/>
        <v>50-59</v>
      </c>
    </row>
    <row r="652" spans="1:8" ht="15.75" customHeight="1">
      <c r="A652" s="1">
        <v>49</v>
      </c>
      <c r="B652" s="1" t="s">
        <v>7</v>
      </c>
      <c r="C652" s="1">
        <v>42.68</v>
      </c>
      <c r="D652" s="1">
        <v>2</v>
      </c>
      <c r="E652" s="1" t="s">
        <v>11</v>
      </c>
      <c r="F652" s="1" t="s">
        <v>12</v>
      </c>
      <c r="G652" s="1">
        <v>9800.8881999999994</v>
      </c>
      <c r="H652" t="str">
        <f t="shared" si="10"/>
        <v>40-49</v>
      </c>
    </row>
    <row r="653" spans="1:8" ht="15.75" customHeight="1">
      <c r="A653" s="1">
        <v>53</v>
      </c>
      <c r="B653" s="1" t="s">
        <v>7</v>
      </c>
      <c r="C653" s="1">
        <v>39.6</v>
      </c>
      <c r="D653" s="1">
        <v>1</v>
      </c>
      <c r="E653" s="1" t="s">
        <v>11</v>
      </c>
      <c r="F653" s="1" t="s">
        <v>12</v>
      </c>
      <c r="G653" s="1">
        <v>10579.710999999999</v>
      </c>
      <c r="H653" t="str">
        <f t="shared" si="10"/>
        <v>50-59</v>
      </c>
    </row>
    <row r="654" spans="1:8" ht="15.75" customHeight="1">
      <c r="A654" s="1">
        <v>48</v>
      </c>
      <c r="B654" s="1" t="s">
        <v>7</v>
      </c>
      <c r="C654" s="1">
        <v>31.13</v>
      </c>
      <c r="D654" s="1">
        <v>0</v>
      </c>
      <c r="E654" s="1" t="s">
        <v>11</v>
      </c>
      <c r="F654" s="1" t="s">
        <v>12</v>
      </c>
      <c r="G654" s="1">
        <v>8280.6226999999999</v>
      </c>
      <c r="H654" t="str">
        <f t="shared" si="10"/>
        <v>40-49</v>
      </c>
    </row>
    <row r="655" spans="1:8" ht="15.75" customHeight="1">
      <c r="A655" s="1">
        <v>45</v>
      </c>
      <c r="B655" s="1" t="s">
        <v>7</v>
      </c>
      <c r="C655" s="1">
        <v>36.299999999999997</v>
      </c>
      <c r="D655" s="1">
        <v>2</v>
      </c>
      <c r="E655" s="1" t="s">
        <v>11</v>
      </c>
      <c r="F655" s="1" t="s">
        <v>12</v>
      </c>
      <c r="G655" s="1">
        <v>8527.5319999999992</v>
      </c>
      <c r="H655" t="str">
        <f t="shared" si="10"/>
        <v>40-49</v>
      </c>
    </row>
    <row r="656" spans="1:8" ht="15.75" customHeight="1">
      <c r="A656" s="1">
        <v>59</v>
      </c>
      <c r="B656" s="1" t="s">
        <v>7</v>
      </c>
      <c r="C656" s="1">
        <v>35.200000000000003</v>
      </c>
      <c r="D656" s="1">
        <v>0</v>
      </c>
      <c r="E656" s="1" t="s">
        <v>11</v>
      </c>
      <c r="F656" s="1" t="s">
        <v>12</v>
      </c>
      <c r="G656" s="1">
        <v>12244.531000000001</v>
      </c>
      <c r="H656" t="str">
        <f t="shared" si="10"/>
        <v>50-59</v>
      </c>
    </row>
    <row r="657" spans="1:8" ht="15.75" customHeight="1">
      <c r="A657" s="1">
        <v>52</v>
      </c>
      <c r="B657" s="1" t="s">
        <v>7</v>
      </c>
      <c r="C657" s="1">
        <v>25.3</v>
      </c>
      <c r="D657" s="1">
        <v>2</v>
      </c>
      <c r="E657" s="1" t="s">
        <v>8</v>
      </c>
      <c r="F657" s="1" t="s">
        <v>12</v>
      </c>
      <c r="G657" s="1">
        <v>24667.419000000002</v>
      </c>
      <c r="H657" t="str">
        <f t="shared" si="10"/>
        <v>50-59</v>
      </c>
    </row>
    <row r="658" spans="1:8" ht="15.75" customHeight="1">
      <c r="A658" s="1">
        <v>26</v>
      </c>
      <c r="B658" s="1" t="s">
        <v>7</v>
      </c>
      <c r="C658" s="1">
        <v>42.4</v>
      </c>
      <c r="D658" s="1">
        <v>1</v>
      </c>
      <c r="E658" s="1" t="s">
        <v>11</v>
      </c>
      <c r="F658" s="1" t="s">
        <v>9</v>
      </c>
      <c r="G658" s="1">
        <v>3410.3240000000001</v>
      </c>
      <c r="H658" t="str">
        <f t="shared" si="10"/>
        <v>18-29</v>
      </c>
    </row>
    <row r="659" spans="1:8" ht="15.75" customHeight="1">
      <c r="A659" s="1">
        <v>27</v>
      </c>
      <c r="B659" s="1" t="s">
        <v>10</v>
      </c>
      <c r="C659" s="1">
        <v>33.155000000000001</v>
      </c>
      <c r="D659" s="1">
        <v>2</v>
      </c>
      <c r="E659" s="1" t="s">
        <v>11</v>
      </c>
      <c r="F659" s="1" t="s">
        <v>13</v>
      </c>
      <c r="G659" s="1">
        <v>4058.71245</v>
      </c>
      <c r="H659" t="str">
        <f t="shared" si="10"/>
        <v>18-29</v>
      </c>
    </row>
    <row r="660" spans="1:8" ht="15.75" customHeight="1">
      <c r="A660" s="1">
        <v>48</v>
      </c>
      <c r="B660" s="1" t="s">
        <v>7</v>
      </c>
      <c r="C660" s="1">
        <v>35.909999999999997</v>
      </c>
      <c r="D660" s="1">
        <v>1</v>
      </c>
      <c r="E660" s="1" t="s">
        <v>11</v>
      </c>
      <c r="F660" s="1" t="s">
        <v>14</v>
      </c>
      <c r="G660" s="1">
        <v>26392.260289999998</v>
      </c>
      <c r="H660" t="str">
        <f t="shared" si="10"/>
        <v>40-49</v>
      </c>
    </row>
    <row r="661" spans="1:8" ht="15.75" customHeight="1">
      <c r="A661" s="1">
        <v>57</v>
      </c>
      <c r="B661" s="1" t="s">
        <v>7</v>
      </c>
      <c r="C661" s="1">
        <v>28.785</v>
      </c>
      <c r="D661" s="1">
        <v>4</v>
      </c>
      <c r="E661" s="1" t="s">
        <v>11</v>
      </c>
      <c r="F661" s="1" t="s">
        <v>14</v>
      </c>
      <c r="G661" s="1">
        <v>14394.398150000001</v>
      </c>
      <c r="H661" t="str">
        <f t="shared" si="10"/>
        <v>50-59</v>
      </c>
    </row>
    <row r="662" spans="1:8" ht="15.75" customHeight="1">
      <c r="A662" s="1">
        <v>37</v>
      </c>
      <c r="B662" s="1" t="s">
        <v>10</v>
      </c>
      <c r="C662" s="1">
        <v>46.53</v>
      </c>
      <c r="D662" s="1">
        <v>3</v>
      </c>
      <c r="E662" s="1" t="s">
        <v>11</v>
      </c>
      <c r="F662" s="1" t="s">
        <v>12</v>
      </c>
      <c r="G662" s="1">
        <v>6435.6237000000001</v>
      </c>
      <c r="H662" t="str">
        <f t="shared" si="10"/>
        <v>30-39</v>
      </c>
    </row>
    <row r="663" spans="1:8" ht="15.75" customHeight="1">
      <c r="A663" s="1">
        <v>57</v>
      </c>
      <c r="B663" s="1" t="s">
        <v>7</v>
      </c>
      <c r="C663" s="1">
        <v>23.98</v>
      </c>
      <c r="D663" s="1">
        <v>1</v>
      </c>
      <c r="E663" s="1" t="s">
        <v>11</v>
      </c>
      <c r="F663" s="1" t="s">
        <v>12</v>
      </c>
      <c r="G663" s="1">
        <v>22192.437109999999</v>
      </c>
      <c r="H663" t="str">
        <f t="shared" si="10"/>
        <v>50-59</v>
      </c>
    </row>
    <row r="664" spans="1:8" ht="15.75" customHeight="1">
      <c r="A664" s="1">
        <v>32</v>
      </c>
      <c r="B664" s="1" t="s">
        <v>7</v>
      </c>
      <c r="C664" s="1">
        <v>31.54</v>
      </c>
      <c r="D664" s="1">
        <v>1</v>
      </c>
      <c r="E664" s="1" t="s">
        <v>11</v>
      </c>
      <c r="F664" s="1" t="s">
        <v>14</v>
      </c>
      <c r="G664" s="1">
        <v>5148.5526</v>
      </c>
      <c r="H664" t="str">
        <f t="shared" si="10"/>
        <v>30-39</v>
      </c>
    </row>
    <row r="665" spans="1:8" ht="15.75" customHeight="1">
      <c r="A665" s="1">
        <v>18</v>
      </c>
      <c r="B665" s="1" t="s">
        <v>10</v>
      </c>
      <c r="C665" s="1">
        <v>33.659999999999997</v>
      </c>
      <c r="D665" s="1">
        <v>0</v>
      </c>
      <c r="E665" s="1" t="s">
        <v>11</v>
      </c>
      <c r="F665" s="1" t="s">
        <v>12</v>
      </c>
      <c r="G665" s="1">
        <v>1136.3994</v>
      </c>
      <c r="H665" t="str">
        <f t="shared" si="10"/>
        <v>18-29</v>
      </c>
    </row>
    <row r="666" spans="1:8" ht="15.75" customHeight="1">
      <c r="A666" s="1">
        <v>64</v>
      </c>
      <c r="B666" s="1" t="s">
        <v>7</v>
      </c>
      <c r="C666" s="1">
        <v>22.99</v>
      </c>
      <c r="D666" s="1">
        <v>0</v>
      </c>
      <c r="E666" s="1" t="s">
        <v>8</v>
      </c>
      <c r="F666" s="1" t="s">
        <v>12</v>
      </c>
      <c r="G666" s="1">
        <v>27037.914100000002</v>
      </c>
      <c r="H666" t="str">
        <f t="shared" si="10"/>
        <v>60+</v>
      </c>
    </row>
    <row r="667" spans="1:8" ht="15.75" customHeight="1">
      <c r="A667" s="1">
        <v>43</v>
      </c>
      <c r="B667" s="1" t="s">
        <v>10</v>
      </c>
      <c r="C667" s="1">
        <v>38.06</v>
      </c>
      <c r="D667" s="1">
        <v>2</v>
      </c>
      <c r="E667" s="1" t="s">
        <v>8</v>
      </c>
      <c r="F667" s="1" t="s">
        <v>12</v>
      </c>
      <c r="G667" s="1">
        <v>42560.430399999997</v>
      </c>
      <c r="H667" t="str">
        <f t="shared" si="10"/>
        <v>40-49</v>
      </c>
    </row>
    <row r="668" spans="1:8" ht="15.75" customHeight="1">
      <c r="A668" s="1">
        <v>49</v>
      </c>
      <c r="B668" s="1" t="s">
        <v>10</v>
      </c>
      <c r="C668" s="1">
        <v>28.7</v>
      </c>
      <c r="D668" s="1">
        <v>1</v>
      </c>
      <c r="E668" s="1" t="s">
        <v>11</v>
      </c>
      <c r="F668" s="1" t="s">
        <v>9</v>
      </c>
      <c r="G668" s="1">
        <v>8703.4560000000001</v>
      </c>
      <c r="H668" t="str">
        <f t="shared" si="10"/>
        <v>40-49</v>
      </c>
    </row>
    <row r="669" spans="1:8" ht="15.75" customHeight="1">
      <c r="A669" s="1">
        <v>40</v>
      </c>
      <c r="B669" s="1" t="s">
        <v>7</v>
      </c>
      <c r="C669" s="1">
        <v>32.774999999999999</v>
      </c>
      <c r="D669" s="1">
        <v>2</v>
      </c>
      <c r="E669" s="1" t="s">
        <v>8</v>
      </c>
      <c r="F669" s="1" t="s">
        <v>13</v>
      </c>
      <c r="G669" s="1">
        <v>40003.332249999999</v>
      </c>
      <c r="H669" t="str">
        <f t="shared" si="10"/>
        <v>40-49</v>
      </c>
    </row>
    <row r="670" spans="1:8" ht="15.75" customHeight="1">
      <c r="A670" s="1">
        <v>62</v>
      </c>
      <c r="B670" s="1" t="s">
        <v>10</v>
      </c>
      <c r="C670" s="1">
        <v>32.015000000000001</v>
      </c>
      <c r="D670" s="1">
        <v>0</v>
      </c>
      <c r="E670" s="1" t="s">
        <v>8</v>
      </c>
      <c r="F670" s="1" t="s">
        <v>14</v>
      </c>
      <c r="G670" s="1">
        <v>45710.207849999999</v>
      </c>
      <c r="H670" t="str">
        <f t="shared" si="10"/>
        <v>60+</v>
      </c>
    </row>
    <row r="671" spans="1:8" ht="15.75" customHeight="1">
      <c r="A671" s="1">
        <v>40</v>
      </c>
      <c r="B671" s="1" t="s">
        <v>7</v>
      </c>
      <c r="C671" s="1">
        <v>29.81</v>
      </c>
      <c r="D671" s="1">
        <v>1</v>
      </c>
      <c r="E671" s="1" t="s">
        <v>11</v>
      </c>
      <c r="F671" s="1" t="s">
        <v>12</v>
      </c>
      <c r="G671" s="1">
        <v>6500.2358999999997</v>
      </c>
      <c r="H671" t="str">
        <f t="shared" si="10"/>
        <v>40-49</v>
      </c>
    </row>
    <row r="672" spans="1:8" ht="15.75" customHeight="1">
      <c r="A672" s="1">
        <v>30</v>
      </c>
      <c r="B672" s="1" t="s">
        <v>10</v>
      </c>
      <c r="C672" s="1">
        <v>31.57</v>
      </c>
      <c r="D672" s="1">
        <v>3</v>
      </c>
      <c r="E672" s="1" t="s">
        <v>11</v>
      </c>
      <c r="F672" s="1" t="s">
        <v>12</v>
      </c>
      <c r="G672" s="1">
        <v>4837.5823</v>
      </c>
      <c r="H672" t="str">
        <f t="shared" si="10"/>
        <v>30-39</v>
      </c>
    </row>
    <row r="673" spans="1:8" ht="15.75" customHeight="1">
      <c r="A673" s="1">
        <v>29</v>
      </c>
      <c r="B673" s="1" t="s">
        <v>7</v>
      </c>
      <c r="C673" s="1">
        <v>31.16</v>
      </c>
      <c r="D673" s="1">
        <v>0</v>
      </c>
      <c r="E673" s="1" t="s">
        <v>11</v>
      </c>
      <c r="F673" s="1" t="s">
        <v>14</v>
      </c>
      <c r="G673" s="1">
        <v>3943.5954000000002</v>
      </c>
      <c r="H673" t="str">
        <f t="shared" si="10"/>
        <v>18-29</v>
      </c>
    </row>
    <row r="674" spans="1:8" ht="15.75" customHeight="1">
      <c r="A674" s="1">
        <v>36</v>
      </c>
      <c r="B674" s="1" t="s">
        <v>10</v>
      </c>
      <c r="C674" s="1">
        <v>29.7</v>
      </c>
      <c r="D674" s="1">
        <v>0</v>
      </c>
      <c r="E674" s="1" t="s">
        <v>11</v>
      </c>
      <c r="F674" s="1" t="s">
        <v>12</v>
      </c>
      <c r="G674" s="1">
        <v>4399.7309999999998</v>
      </c>
      <c r="H674" t="str">
        <f t="shared" si="10"/>
        <v>30-39</v>
      </c>
    </row>
    <row r="675" spans="1:8" ht="15.75" customHeight="1">
      <c r="A675" s="1">
        <v>41</v>
      </c>
      <c r="B675" s="1" t="s">
        <v>7</v>
      </c>
      <c r="C675" s="1">
        <v>31.02</v>
      </c>
      <c r="D675" s="1">
        <v>0</v>
      </c>
      <c r="E675" s="1" t="s">
        <v>11</v>
      </c>
      <c r="F675" s="1" t="s">
        <v>12</v>
      </c>
      <c r="G675" s="1">
        <v>6185.3208000000004</v>
      </c>
      <c r="H675" t="str">
        <f t="shared" si="10"/>
        <v>40-49</v>
      </c>
    </row>
    <row r="676" spans="1:8" ht="15.75" customHeight="1">
      <c r="A676" s="1">
        <v>44</v>
      </c>
      <c r="B676" s="1" t="s">
        <v>7</v>
      </c>
      <c r="C676" s="1">
        <v>43.89</v>
      </c>
      <c r="D676" s="1">
        <v>2</v>
      </c>
      <c r="E676" s="1" t="s">
        <v>8</v>
      </c>
      <c r="F676" s="1" t="s">
        <v>12</v>
      </c>
      <c r="G676" s="1">
        <v>46200.985099999998</v>
      </c>
      <c r="H676" t="str">
        <f t="shared" si="10"/>
        <v>40-49</v>
      </c>
    </row>
    <row r="677" spans="1:8" ht="15.75" customHeight="1">
      <c r="A677" s="1">
        <v>45</v>
      </c>
      <c r="B677" s="1" t="s">
        <v>10</v>
      </c>
      <c r="C677" s="1">
        <v>21.375</v>
      </c>
      <c r="D677" s="1">
        <v>0</v>
      </c>
      <c r="E677" s="1" t="s">
        <v>11</v>
      </c>
      <c r="F677" s="1" t="s">
        <v>13</v>
      </c>
      <c r="G677" s="1">
        <v>7222.7862500000001</v>
      </c>
      <c r="H677" t="str">
        <f t="shared" si="10"/>
        <v>40-49</v>
      </c>
    </row>
    <row r="678" spans="1:8" ht="15.75" customHeight="1">
      <c r="A678" s="1">
        <v>55</v>
      </c>
      <c r="B678" s="1" t="s">
        <v>7</v>
      </c>
      <c r="C678" s="1">
        <v>40.81</v>
      </c>
      <c r="D678" s="1">
        <v>3</v>
      </c>
      <c r="E678" s="1" t="s">
        <v>11</v>
      </c>
      <c r="F678" s="1" t="s">
        <v>12</v>
      </c>
      <c r="G678" s="1">
        <v>12485.8009</v>
      </c>
      <c r="H678" t="str">
        <f t="shared" si="10"/>
        <v>50-59</v>
      </c>
    </row>
    <row r="679" spans="1:8" ht="15.75" customHeight="1">
      <c r="A679" s="1">
        <v>60</v>
      </c>
      <c r="B679" s="1" t="s">
        <v>10</v>
      </c>
      <c r="C679" s="1">
        <v>31.35</v>
      </c>
      <c r="D679" s="1">
        <v>3</v>
      </c>
      <c r="E679" s="1" t="s">
        <v>8</v>
      </c>
      <c r="F679" s="1" t="s">
        <v>13</v>
      </c>
      <c r="G679" s="1">
        <v>46130.5265</v>
      </c>
      <c r="H679" t="str">
        <f t="shared" si="10"/>
        <v>60+</v>
      </c>
    </row>
    <row r="680" spans="1:8" ht="15.75" customHeight="1">
      <c r="A680" s="1">
        <v>56</v>
      </c>
      <c r="B680" s="1" t="s">
        <v>10</v>
      </c>
      <c r="C680" s="1">
        <v>36.1</v>
      </c>
      <c r="D680" s="1">
        <v>3</v>
      </c>
      <c r="E680" s="1" t="s">
        <v>11</v>
      </c>
      <c r="F680" s="1" t="s">
        <v>9</v>
      </c>
      <c r="G680" s="1">
        <v>12363.547</v>
      </c>
      <c r="H680" t="str">
        <f t="shared" si="10"/>
        <v>50-59</v>
      </c>
    </row>
    <row r="681" spans="1:8" ht="15.75" customHeight="1">
      <c r="A681" s="1">
        <v>49</v>
      </c>
      <c r="B681" s="1" t="s">
        <v>7</v>
      </c>
      <c r="C681" s="1">
        <v>23.18</v>
      </c>
      <c r="D681" s="1">
        <v>2</v>
      </c>
      <c r="E681" s="1" t="s">
        <v>11</v>
      </c>
      <c r="F681" s="1" t="s">
        <v>13</v>
      </c>
      <c r="G681" s="1">
        <v>10156.7832</v>
      </c>
      <c r="H681" t="str">
        <f t="shared" si="10"/>
        <v>40-49</v>
      </c>
    </row>
    <row r="682" spans="1:8" ht="15.75" customHeight="1">
      <c r="A682" s="1">
        <v>21</v>
      </c>
      <c r="B682" s="1" t="s">
        <v>7</v>
      </c>
      <c r="C682" s="1">
        <v>17.399999999999999</v>
      </c>
      <c r="D682" s="1">
        <v>1</v>
      </c>
      <c r="E682" s="1" t="s">
        <v>11</v>
      </c>
      <c r="F682" s="1" t="s">
        <v>9</v>
      </c>
      <c r="G682" s="1">
        <v>2585.2689999999998</v>
      </c>
      <c r="H682" t="str">
        <f t="shared" si="10"/>
        <v>18-29</v>
      </c>
    </row>
    <row r="683" spans="1:8" ht="15.75" customHeight="1">
      <c r="A683" s="1">
        <v>19</v>
      </c>
      <c r="B683" s="1" t="s">
        <v>10</v>
      </c>
      <c r="C683" s="1">
        <v>20.3</v>
      </c>
      <c r="D683" s="1">
        <v>0</v>
      </c>
      <c r="E683" s="1" t="s">
        <v>11</v>
      </c>
      <c r="F683" s="1" t="s">
        <v>9</v>
      </c>
      <c r="G683" s="1">
        <v>1242.26</v>
      </c>
      <c r="H683" t="str">
        <f t="shared" si="10"/>
        <v>18-29</v>
      </c>
    </row>
    <row r="684" spans="1:8" ht="15.75" customHeight="1">
      <c r="A684" s="1">
        <v>39</v>
      </c>
      <c r="B684" s="1" t="s">
        <v>10</v>
      </c>
      <c r="C684" s="1">
        <v>35.299999999999997</v>
      </c>
      <c r="D684" s="1">
        <v>2</v>
      </c>
      <c r="E684" s="1" t="s">
        <v>8</v>
      </c>
      <c r="F684" s="1" t="s">
        <v>9</v>
      </c>
      <c r="G684" s="1">
        <v>40103.89</v>
      </c>
      <c r="H684" t="str">
        <f t="shared" si="10"/>
        <v>30-39</v>
      </c>
    </row>
    <row r="685" spans="1:8" ht="15.75" customHeight="1">
      <c r="A685" s="1">
        <v>53</v>
      </c>
      <c r="B685" s="1" t="s">
        <v>10</v>
      </c>
      <c r="C685" s="1">
        <v>24.32</v>
      </c>
      <c r="D685" s="1">
        <v>0</v>
      </c>
      <c r="E685" s="1" t="s">
        <v>11</v>
      </c>
      <c r="F685" s="1" t="s">
        <v>13</v>
      </c>
      <c r="G685" s="1">
        <v>9863.4717999999993</v>
      </c>
      <c r="H685" t="str">
        <f t="shared" si="10"/>
        <v>50-59</v>
      </c>
    </row>
    <row r="686" spans="1:8" ht="15.75" customHeight="1">
      <c r="A686" s="1">
        <v>33</v>
      </c>
      <c r="B686" s="1" t="s">
        <v>7</v>
      </c>
      <c r="C686" s="1">
        <v>18.5</v>
      </c>
      <c r="D686" s="1">
        <v>1</v>
      </c>
      <c r="E686" s="1" t="s">
        <v>11</v>
      </c>
      <c r="F686" s="1" t="s">
        <v>9</v>
      </c>
      <c r="G686" s="1">
        <v>4766.0219999999999</v>
      </c>
      <c r="H686" t="str">
        <f t="shared" si="10"/>
        <v>30-39</v>
      </c>
    </row>
    <row r="687" spans="1:8" ht="15.75" customHeight="1">
      <c r="A687" s="1">
        <v>53</v>
      </c>
      <c r="B687" s="1" t="s">
        <v>10</v>
      </c>
      <c r="C687" s="1">
        <v>26.41</v>
      </c>
      <c r="D687" s="1">
        <v>2</v>
      </c>
      <c r="E687" s="1" t="s">
        <v>11</v>
      </c>
      <c r="F687" s="1" t="s">
        <v>14</v>
      </c>
      <c r="G687" s="1">
        <v>11244.376899999999</v>
      </c>
      <c r="H687" t="str">
        <f t="shared" si="10"/>
        <v>50-59</v>
      </c>
    </row>
    <row r="688" spans="1:8" ht="15.75" customHeight="1">
      <c r="A688" s="1">
        <v>42</v>
      </c>
      <c r="B688" s="1" t="s">
        <v>10</v>
      </c>
      <c r="C688" s="1">
        <v>26.125</v>
      </c>
      <c r="D688" s="1">
        <v>2</v>
      </c>
      <c r="E688" s="1" t="s">
        <v>11</v>
      </c>
      <c r="F688" s="1" t="s">
        <v>14</v>
      </c>
      <c r="G688" s="1">
        <v>7729.6457499999997</v>
      </c>
      <c r="H688" t="str">
        <f t="shared" si="10"/>
        <v>40-49</v>
      </c>
    </row>
    <row r="689" spans="1:8" ht="15.75" customHeight="1">
      <c r="A689" s="1">
        <v>40</v>
      </c>
      <c r="B689" s="1" t="s">
        <v>10</v>
      </c>
      <c r="C689" s="1">
        <v>41.69</v>
      </c>
      <c r="D689" s="1">
        <v>0</v>
      </c>
      <c r="E689" s="1" t="s">
        <v>11</v>
      </c>
      <c r="F689" s="1" t="s">
        <v>12</v>
      </c>
      <c r="G689" s="1">
        <v>5438.7491</v>
      </c>
      <c r="H689" t="str">
        <f t="shared" si="10"/>
        <v>40-49</v>
      </c>
    </row>
    <row r="690" spans="1:8" ht="15.75" customHeight="1">
      <c r="A690" s="1">
        <v>47</v>
      </c>
      <c r="B690" s="1" t="s">
        <v>7</v>
      </c>
      <c r="C690" s="1">
        <v>24.1</v>
      </c>
      <c r="D690" s="1">
        <v>1</v>
      </c>
      <c r="E690" s="1" t="s">
        <v>11</v>
      </c>
      <c r="F690" s="1" t="s">
        <v>9</v>
      </c>
      <c r="G690" s="1">
        <v>26236.579969999999</v>
      </c>
      <c r="H690" t="str">
        <f t="shared" si="10"/>
        <v>40-49</v>
      </c>
    </row>
    <row r="691" spans="1:8" ht="15.75" customHeight="1">
      <c r="A691" s="1">
        <v>27</v>
      </c>
      <c r="B691" s="1" t="s">
        <v>10</v>
      </c>
      <c r="C691" s="1">
        <v>31.13</v>
      </c>
      <c r="D691" s="1">
        <v>1</v>
      </c>
      <c r="E691" s="1" t="s">
        <v>8</v>
      </c>
      <c r="F691" s="1" t="s">
        <v>12</v>
      </c>
      <c r="G691" s="1">
        <v>34806.467700000001</v>
      </c>
      <c r="H691" t="str">
        <f t="shared" si="10"/>
        <v>18-29</v>
      </c>
    </row>
    <row r="692" spans="1:8" ht="15.75" customHeight="1">
      <c r="A692" s="1">
        <v>21</v>
      </c>
      <c r="B692" s="1" t="s">
        <v>10</v>
      </c>
      <c r="C692" s="1">
        <v>27.36</v>
      </c>
      <c r="D692" s="1">
        <v>0</v>
      </c>
      <c r="E692" s="1" t="s">
        <v>11</v>
      </c>
      <c r="F692" s="1" t="s">
        <v>14</v>
      </c>
      <c r="G692" s="1">
        <v>2104.1134000000002</v>
      </c>
      <c r="H692" t="str">
        <f t="shared" si="10"/>
        <v>18-29</v>
      </c>
    </row>
    <row r="693" spans="1:8" ht="15.75" customHeight="1">
      <c r="A693" s="1">
        <v>47</v>
      </c>
      <c r="B693" s="1" t="s">
        <v>10</v>
      </c>
      <c r="C693" s="1">
        <v>36.200000000000003</v>
      </c>
      <c r="D693" s="1">
        <v>1</v>
      </c>
      <c r="E693" s="1" t="s">
        <v>11</v>
      </c>
      <c r="F693" s="1" t="s">
        <v>9</v>
      </c>
      <c r="G693" s="1">
        <v>8068.1850000000004</v>
      </c>
      <c r="H693" t="str">
        <f t="shared" si="10"/>
        <v>40-49</v>
      </c>
    </row>
    <row r="694" spans="1:8" ht="15.75" customHeight="1">
      <c r="A694" s="1">
        <v>20</v>
      </c>
      <c r="B694" s="1" t="s">
        <v>10</v>
      </c>
      <c r="C694" s="1">
        <v>32.395000000000003</v>
      </c>
      <c r="D694" s="1">
        <v>1</v>
      </c>
      <c r="E694" s="1" t="s">
        <v>11</v>
      </c>
      <c r="F694" s="1" t="s">
        <v>13</v>
      </c>
      <c r="G694" s="1">
        <v>2362.2290499999999</v>
      </c>
      <c r="H694" t="str">
        <f t="shared" si="10"/>
        <v>18-29</v>
      </c>
    </row>
    <row r="695" spans="1:8" ht="15.75" customHeight="1">
      <c r="A695" s="1">
        <v>24</v>
      </c>
      <c r="B695" s="1" t="s">
        <v>10</v>
      </c>
      <c r="C695" s="1">
        <v>23.655000000000001</v>
      </c>
      <c r="D695" s="1">
        <v>0</v>
      </c>
      <c r="E695" s="1" t="s">
        <v>11</v>
      </c>
      <c r="F695" s="1" t="s">
        <v>13</v>
      </c>
      <c r="G695" s="1">
        <v>2352.9684499999998</v>
      </c>
      <c r="H695" t="str">
        <f t="shared" si="10"/>
        <v>18-29</v>
      </c>
    </row>
    <row r="696" spans="1:8" ht="15.75" customHeight="1">
      <c r="A696" s="1">
        <v>27</v>
      </c>
      <c r="B696" s="1" t="s">
        <v>7</v>
      </c>
      <c r="C696" s="1">
        <v>34.799999999999997</v>
      </c>
      <c r="D696" s="1">
        <v>1</v>
      </c>
      <c r="E696" s="1" t="s">
        <v>11</v>
      </c>
      <c r="F696" s="1" t="s">
        <v>9</v>
      </c>
      <c r="G696" s="1">
        <v>3577.9989999999998</v>
      </c>
      <c r="H696" t="str">
        <f t="shared" si="10"/>
        <v>18-29</v>
      </c>
    </row>
    <row r="697" spans="1:8" ht="15.75" customHeight="1">
      <c r="A697" s="1">
        <v>26</v>
      </c>
      <c r="B697" s="1" t="s">
        <v>7</v>
      </c>
      <c r="C697" s="1">
        <v>40.185000000000002</v>
      </c>
      <c r="D697" s="1">
        <v>0</v>
      </c>
      <c r="E697" s="1" t="s">
        <v>11</v>
      </c>
      <c r="F697" s="1" t="s">
        <v>13</v>
      </c>
      <c r="G697" s="1">
        <v>3201.2451500000002</v>
      </c>
      <c r="H697" t="str">
        <f t="shared" si="10"/>
        <v>18-29</v>
      </c>
    </row>
    <row r="698" spans="1:8" ht="15.75" customHeight="1">
      <c r="A698" s="1">
        <v>53</v>
      </c>
      <c r="B698" s="1" t="s">
        <v>7</v>
      </c>
      <c r="C698" s="1">
        <v>32.299999999999997</v>
      </c>
      <c r="D698" s="1">
        <v>2</v>
      </c>
      <c r="E698" s="1" t="s">
        <v>11</v>
      </c>
      <c r="F698" s="1" t="s">
        <v>14</v>
      </c>
      <c r="G698" s="1">
        <v>29186.482360000002</v>
      </c>
      <c r="H698" t="str">
        <f t="shared" si="10"/>
        <v>50-59</v>
      </c>
    </row>
    <row r="699" spans="1:8" ht="15.75" customHeight="1">
      <c r="A699" s="1">
        <v>41</v>
      </c>
      <c r="B699" s="1" t="s">
        <v>10</v>
      </c>
      <c r="C699" s="1">
        <v>35.75</v>
      </c>
      <c r="D699" s="1">
        <v>1</v>
      </c>
      <c r="E699" s="1" t="s">
        <v>8</v>
      </c>
      <c r="F699" s="1" t="s">
        <v>12</v>
      </c>
      <c r="G699" s="1">
        <v>40273.645499999999</v>
      </c>
      <c r="H699" t="str">
        <f t="shared" si="10"/>
        <v>40-49</v>
      </c>
    </row>
    <row r="700" spans="1:8" ht="15.75" customHeight="1">
      <c r="A700" s="1">
        <v>56</v>
      </c>
      <c r="B700" s="1" t="s">
        <v>10</v>
      </c>
      <c r="C700" s="1">
        <v>33.725000000000001</v>
      </c>
      <c r="D700" s="1">
        <v>0</v>
      </c>
      <c r="E700" s="1" t="s">
        <v>11</v>
      </c>
      <c r="F700" s="1" t="s">
        <v>13</v>
      </c>
      <c r="G700" s="1">
        <v>10976.24575</v>
      </c>
      <c r="H700" t="str">
        <f t="shared" si="10"/>
        <v>50-59</v>
      </c>
    </row>
    <row r="701" spans="1:8" ht="15.75" customHeight="1">
      <c r="A701" s="1">
        <v>23</v>
      </c>
      <c r="B701" s="1" t="s">
        <v>7</v>
      </c>
      <c r="C701" s="1">
        <v>39.270000000000003</v>
      </c>
      <c r="D701" s="1">
        <v>2</v>
      </c>
      <c r="E701" s="1" t="s">
        <v>11</v>
      </c>
      <c r="F701" s="1" t="s">
        <v>12</v>
      </c>
      <c r="G701" s="1">
        <v>3500.6122999999998</v>
      </c>
      <c r="H701" t="str">
        <f t="shared" si="10"/>
        <v>18-29</v>
      </c>
    </row>
    <row r="702" spans="1:8" ht="15.75" customHeight="1">
      <c r="A702" s="1">
        <v>21</v>
      </c>
      <c r="B702" s="1" t="s">
        <v>7</v>
      </c>
      <c r="C702" s="1">
        <v>34.869999999999997</v>
      </c>
      <c r="D702" s="1">
        <v>0</v>
      </c>
      <c r="E702" s="1" t="s">
        <v>11</v>
      </c>
      <c r="F702" s="1" t="s">
        <v>12</v>
      </c>
      <c r="G702" s="1">
        <v>2020.5523000000001</v>
      </c>
      <c r="H702" t="str">
        <f t="shared" si="10"/>
        <v>18-29</v>
      </c>
    </row>
    <row r="703" spans="1:8" ht="15.75" customHeight="1">
      <c r="A703" s="1">
        <v>50</v>
      </c>
      <c r="B703" s="1" t="s">
        <v>7</v>
      </c>
      <c r="C703" s="1">
        <v>44.744999999999997</v>
      </c>
      <c r="D703" s="1">
        <v>0</v>
      </c>
      <c r="E703" s="1" t="s">
        <v>11</v>
      </c>
      <c r="F703" s="1" t="s">
        <v>14</v>
      </c>
      <c r="G703" s="1">
        <v>9541.6955500000004</v>
      </c>
      <c r="H703" t="str">
        <f t="shared" si="10"/>
        <v>50-59</v>
      </c>
    </row>
    <row r="704" spans="1:8" ht="15.75" customHeight="1">
      <c r="A704" s="1">
        <v>53</v>
      </c>
      <c r="B704" s="1" t="s">
        <v>10</v>
      </c>
      <c r="C704" s="1">
        <v>41.47</v>
      </c>
      <c r="D704" s="1">
        <v>0</v>
      </c>
      <c r="E704" s="1" t="s">
        <v>11</v>
      </c>
      <c r="F704" s="1" t="s">
        <v>12</v>
      </c>
      <c r="G704" s="1">
        <v>9504.3102999999992</v>
      </c>
      <c r="H704" t="str">
        <f t="shared" si="10"/>
        <v>50-59</v>
      </c>
    </row>
    <row r="705" spans="1:8" ht="15.75" customHeight="1">
      <c r="A705" s="1">
        <v>34</v>
      </c>
      <c r="B705" s="1" t="s">
        <v>7</v>
      </c>
      <c r="C705" s="1">
        <v>26.41</v>
      </c>
      <c r="D705" s="1">
        <v>1</v>
      </c>
      <c r="E705" s="1" t="s">
        <v>11</v>
      </c>
      <c r="F705" s="1" t="s">
        <v>13</v>
      </c>
      <c r="G705" s="1">
        <v>5385.3379000000004</v>
      </c>
      <c r="H705" t="str">
        <f t="shared" si="10"/>
        <v>30-39</v>
      </c>
    </row>
    <row r="706" spans="1:8" ht="15.75" customHeight="1">
      <c r="A706" s="1">
        <v>47</v>
      </c>
      <c r="B706" s="1" t="s">
        <v>7</v>
      </c>
      <c r="C706" s="1">
        <v>29.545000000000002</v>
      </c>
      <c r="D706" s="1">
        <v>1</v>
      </c>
      <c r="E706" s="1" t="s">
        <v>11</v>
      </c>
      <c r="F706" s="1" t="s">
        <v>13</v>
      </c>
      <c r="G706" s="1">
        <v>8930.9345499999999</v>
      </c>
      <c r="H706" t="str">
        <f t="shared" si="10"/>
        <v>40-49</v>
      </c>
    </row>
    <row r="707" spans="1:8" ht="15.75" customHeight="1">
      <c r="A707" s="1">
        <v>33</v>
      </c>
      <c r="B707" s="1" t="s">
        <v>7</v>
      </c>
      <c r="C707" s="1">
        <v>32.9</v>
      </c>
      <c r="D707" s="1">
        <v>2</v>
      </c>
      <c r="E707" s="1" t="s">
        <v>11</v>
      </c>
      <c r="F707" s="1" t="s">
        <v>9</v>
      </c>
      <c r="G707" s="1">
        <v>5375.0379999999996</v>
      </c>
      <c r="H707" t="str">
        <f t="shared" ref="H707:H770" si="11">IF(A707&lt;30,"18-29",IF(A707&lt;40,"30-39",IF(A707&lt;50,"40-49",IF(A707&lt;60,"50-59","60+"))))</f>
        <v>30-39</v>
      </c>
    </row>
    <row r="708" spans="1:8" ht="15.75" customHeight="1">
      <c r="A708" s="1">
        <v>51</v>
      </c>
      <c r="B708" s="1" t="s">
        <v>7</v>
      </c>
      <c r="C708" s="1">
        <v>38.06</v>
      </c>
      <c r="D708" s="1">
        <v>0</v>
      </c>
      <c r="E708" s="1" t="s">
        <v>8</v>
      </c>
      <c r="F708" s="1" t="s">
        <v>12</v>
      </c>
      <c r="G708" s="1">
        <v>44400.4064</v>
      </c>
      <c r="H708" t="str">
        <f t="shared" si="11"/>
        <v>50-59</v>
      </c>
    </row>
    <row r="709" spans="1:8" ht="15.75" customHeight="1">
      <c r="A709" s="1">
        <v>49</v>
      </c>
      <c r="B709" s="1" t="s">
        <v>10</v>
      </c>
      <c r="C709" s="1">
        <v>28.69</v>
      </c>
      <c r="D709" s="1">
        <v>3</v>
      </c>
      <c r="E709" s="1" t="s">
        <v>11</v>
      </c>
      <c r="F709" s="1" t="s">
        <v>13</v>
      </c>
      <c r="G709" s="1">
        <v>10264.4421</v>
      </c>
      <c r="H709" t="str">
        <f t="shared" si="11"/>
        <v>40-49</v>
      </c>
    </row>
    <row r="710" spans="1:8" ht="15.75" customHeight="1">
      <c r="A710" s="1">
        <v>31</v>
      </c>
      <c r="B710" s="1" t="s">
        <v>7</v>
      </c>
      <c r="C710" s="1">
        <v>30.495000000000001</v>
      </c>
      <c r="D710" s="1">
        <v>3</v>
      </c>
      <c r="E710" s="1" t="s">
        <v>11</v>
      </c>
      <c r="F710" s="1" t="s">
        <v>14</v>
      </c>
      <c r="G710" s="1">
        <v>6113.2310500000003</v>
      </c>
      <c r="H710" t="str">
        <f t="shared" si="11"/>
        <v>30-39</v>
      </c>
    </row>
    <row r="711" spans="1:8" ht="15.75" customHeight="1">
      <c r="A711" s="1">
        <v>36</v>
      </c>
      <c r="B711" s="1" t="s">
        <v>7</v>
      </c>
      <c r="C711" s="1">
        <v>27.74</v>
      </c>
      <c r="D711" s="1">
        <v>0</v>
      </c>
      <c r="E711" s="1" t="s">
        <v>11</v>
      </c>
      <c r="F711" s="1" t="s">
        <v>14</v>
      </c>
      <c r="G711" s="1">
        <v>5469.0065999999997</v>
      </c>
      <c r="H711" t="str">
        <f t="shared" si="11"/>
        <v>30-39</v>
      </c>
    </row>
    <row r="712" spans="1:8" ht="15.75" customHeight="1">
      <c r="A712" s="1">
        <v>18</v>
      </c>
      <c r="B712" s="1" t="s">
        <v>10</v>
      </c>
      <c r="C712" s="1">
        <v>35.200000000000003</v>
      </c>
      <c r="D712" s="1">
        <v>1</v>
      </c>
      <c r="E712" s="1" t="s">
        <v>11</v>
      </c>
      <c r="F712" s="1" t="s">
        <v>12</v>
      </c>
      <c r="G712" s="1">
        <v>1727.54</v>
      </c>
      <c r="H712" t="str">
        <f t="shared" si="11"/>
        <v>18-29</v>
      </c>
    </row>
    <row r="713" spans="1:8" ht="15.75" customHeight="1">
      <c r="A713" s="1">
        <v>50</v>
      </c>
      <c r="B713" s="1" t="s">
        <v>7</v>
      </c>
      <c r="C713" s="1">
        <v>23.54</v>
      </c>
      <c r="D713" s="1">
        <v>2</v>
      </c>
      <c r="E713" s="1" t="s">
        <v>11</v>
      </c>
      <c r="F713" s="1" t="s">
        <v>12</v>
      </c>
      <c r="G713" s="1">
        <v>10107.220600000001</v>
      </c>
      <c r="H713" t="str">
        <f t="shared" si="11"/>
        <v>50-59</v>
      </c>
    </row>
    <row r="714" spans="1:8" ht="15.75" customHeight="1">
      <c r="A714" s="1">
        <v>43</v>
      </c>
      <c r="B714" s="1" t="s">
        <v>7</v>
      </c>
      <c r="C714" s="1">
        <v>30.684999999999999</v>
      </c>
      <c r="D714" s="1">
        <v>2</v>
      </c>
      <c r="E714" s="1" t="s">
        <v>11</v>
      </c>
      <c r="F714" s="1" t="s">
        <v>13</v>
      </c>
      <c r="G714" s="1">
        <v>8310.8391499999998</v>
      </c>
      <c r="H714" t="str">
        <f t="shared" si="11"/>
        <v>40-49</v>
      </c>
    </row>
    <row r="715" spans="1:8" ht="15.75" customHeight="1">
      <c r="A715" s="1">
        <v>20</v>
      </c>
      <c r="B715" s="1" t="s">
        <v>10</v>
      </c>
      <c r="C715" s="1">
        <v>40.47</v>
      </c>
      <c r="D715" s="1">
        <v>0</v>
      </c>
      <c r="E715" s="1" t="s">
        <v>11</v>
      </c>
      <c r="F715" s="1" t="s">
        <v>14</v>
      </c>
      <c r="G715" s="1">
        <v>1984.4532999999999</v>
      </c>
      <c r="H715" t="str">
        <f t="shared" si="11"/>
        <v>18-29</v>
      </c>
    </row>
    <row r="716" spans="1:8" ht="15.75" customHeight="1">
      <c r="A716" s="1">
        <v>24</v>
      </c>
      <c r="B716" s="1" t="s">
        <v>7</v>
      </c>
      <c r="C716" s="1">
        <v>22.6</v>
      </c>
      <c r="D716" s="1">
        <v>0</v>
      </c>
      <c r="E716" s="1" t="s">
        <v>11</v>
      </c>
      <c r="F716" s="1" t="s">
        <v>9</v>
      </c>
      <c r="G716" s="1">
        <v>2457.502</v>
      </c>
      <c r="H716" t="str">
        <f t="shared" si="11"/>
        <v>18-29</v>
      </c>
    </row>
    <row r="717" spans="1:8" ht="15.75" customHeight="1">
      <c r="A717" s="1">
        <v>60</v>
      </c>
      <c r="B717" s="1" t="s">
        <v>10</v>
      </c>
      <c r="C717" s="1">
        <v>28.9</v>
      </c>
      <c r="D717" s="1">
        <v>0</v>
      </c>
      <c r="E717" s="1" t="s">
        <v>11</v>
      </c>
      <c r="F717" s="1" t="s">
        <v>9</v>
      </c>
      <c r="G717" s="1">
        <v>12146.971</v>
      </c>
      <c r="H717" t="str">
        <f t="shared" si="11"/>
        <v>60+</v>
      </c>
    </row>
    <row r="718" spans="1:8" ht="15.75" customHeight="1">
      <c r="A718" s="1">
        <v>49</v>
      </c>
      <c r="B718" s="1" t="s">
        <v>7</v>
      </c>
      <c r="C718" s="1">
        <v>22.61</v>
      </c>
      <c r="D718" s="1">
        <v>1</v>
      </c>
      <c r="E718" s="1" t="s">
        <v>11</v>
      </c>
      <c r="F718" s="1" t="s">
        <v>13</v>
      </c>
      <c r="G718" s="1">
        <v>9566.9909000000007</v>
      </c>
      <c r="H718" t="str">
        <f t="shared" si="11"/>
        <v>40-49</v>
      </c>
    </row>
    <row r="719" spans="1:8" ht="15.75" customHeight="1">
      <c r="A719" s="1">
        <v>60</v>
      </c>
      <c r="B719" s="1" t="s">
        <v>10</v>
      </c>
      <c r="C719" s="1">
        <v>24.32</v>
      </c>
      <c r="D719" s="1">
        <v>1</v>
      </c>
      <c r="E719" s="1" t="s">
        <v>11</v>
      </c>
      <c r="F719" s="1" t="s">
        <v>13</v>
      </c>
      <c r="G719" s="1">
        <v>13112.604799999999</v>
      </c>
      <c r="H719" t="str">
        <f t="shared" si="11"/>
        <v>60+</v>
      </c>
    </row>
    <row r="720" spans="1:8" ht="15.75" customHeight="1">
      <c r="A720" s="1">
        <v>51</v>
      </c>
      <c r="B720" s="1" t="s">
        <v>7</v>
      </c>
      <c r="C720" s="1">
        <v>36.67</v>
      </c>
      <c r="D720" s="1">
        <v>2</v>
      </c>
      <c r="E720" s="1" t="s">
        <v>11</v>
      </c>
      <c r="F720" s="1" t="s">
        <v>13</v>
      </c>
      <c r="G720" s="1">
        <v>10848.1343</v>
      </c>
      <c r="H720" t="str">
        <f t="shared" si="11"/>
        <v>50-59</v>
      </c>
    </row>
    <row r="721" spans="1:8" ht="15.75" customHeight="1">
      <c r="A721" s="1">
        <v>58</v>
      </c>
      <c r="B721" s="1" t="s">
        <v>7</v>
      </c>
      <c r="C721" s="1">
        <v>33.44</v>
      </c>
      <c r="D721" s="1">
        <v>0</v>
      </c>
      <c r="E721" s="1" t="s">
        <v>11</v>
      </c>
      <c r="F721" s="1" t="s">
        <v>13</v>
      </c>
      <c r="G721" s="1">
        <v>12231.613600000001</v>
      </c>
      <c r="H721" t="str">
        <f t="shared" si="11"/>
        <v>50-59</v>
      </c>
    </row>
    <row r="722" spans="1:8" ht="15.75" customHeight="1">
      <c r="A722" s="1">
        <v>51</v>
      </c>
      <c r="B722" s="1" t="s">
        <v>7</v>
      </c>
      <c r="C722" s="1">
        <v>40.659999999999997</v>
      </c>
      <c r="D722" s="1">
        <v>0</v>
      </c>
      <c r="E722" s="1" t="s">
        <v>11</v>
      </c>
      <c r="F722" s="1" t="s">
        <v>14</v>
      </c>
      <c r="G722" s="1">
        <v>9875.6803999999993</v>
      </c>
      <c r="H722" t="str">
        <f t="shared" si="11"/>
        <v>50-59</v>
      </c>
    </row>
    <row r="723" spans="1:8" ht="15.75" customHeight="1">
      <c r="A723" s="1">
        <v>53</v>
      </c>
      <c r="B723" s="1" t="s">
        <v>10</v>
      </c>
      <c r="C723" s="1">
        <v>36.6</v>
      </c>
      <c r="D723" s="1">
        <v>3</v>
      </c>
      <c r="E723" s="1" t="s">
        <v>11</v>
      </c>
      <c r="F723" s="1" t="s">
        <v>9</v>
      </c>
      <c r="G723" s="1">
        <v>11264.540999999999</v>
      </c>
      <c r="H723" t="str">
        <f t="shared" si="11"/>
        <v>50-59</v>
      </c>
    </row>
    <row r="724" spans="1:8" ht="15.75" customHeight="1">
      <c r="A724" s="1">
        <v>62</v>
      </c>
      <c r="B724" s="1" t="s">
        <v>10</v>
      </c>
      <c r="C724" s="1">
        <v>37.4</v>
      </c>
      <c r="D724" s="1">
        <v>0</v>
      </c>
      <c r="E724" s="1" t="s">
        <v>11</v>
      </c>
      <c r="F724" s="1" t="s">
        <v>9</v>
      </c>
      <c r="G724" s="1">
        <v>12979.358</v>
      </c>
      <c r="H724" t="str">
        <f t="shared" si="11"/>
        <v>60+</v>
      </c>
    </row>
    <row r="725" spans="1:8" ht="15.75" customHeight="1">
      <c r="A725" s="1">
        <v>19</v>
      </c>
      <c r="B725" s="1" t="s">
        <v>10</v>
      </c>
      <c r="C725" s="1">
        <v>35.4</v>
      </c>
      <c r="D725" s="1">
        <v>0</v>
      </c>
      <c r="E725" s="1" t="s">
        <v>11</v>
      </c>
      <c r="F725" s="1" t="s">
        <v>9</v>
      </c>
      <c r="G725" s="1">
        <v>1263.249</v>
      </c>
      <c r="H725" t="str">
        <f t="shared" si="11"/>
        <v>18-29</v>
      </c>
    </row>
    <row r="726" spans="1:8" ht="15.75" customHeight="1">
      <c r="A726" s="1">
        <v>50</v>
      </c>
      <c r="B726" s="1" t="s">
        <v>7</v>
      </c>
      <c r="C726" s="1">
        <v>27.074999999999999</v>
      </c>
      <c r="D726" s="1">
        <v>1</v>
      </c>
      <c r="E726" s="1" t="s">
        <v>11</v>
      </c>
      <c r="F726" s="1" t="s">
        <v>14</v>
      </c>
      <c r="G726" s="1">
        <v>10106.134249999999</v>
      </c>
      <c r="H726" t="str">
        <f t="shared" si="11"/>
        <v>50-59</v>
      </c>
    </row>
    <row r="727" spans="1:8" ht="15.75" customHeight="1">
      <c r="A727" s="1">
        <v>30</v>
      </c>
      <c r="B727" s="1" t="s">
        <v>7</v>
      </c>
      <c r="C727" s="1">
        <v>39.049999999999997</v>
      </c>
      <c r="D727" s="1">
        <v>3</v>
      </c>
      <c r="E727" s="1" t="s">
        <v>8</v>
      </c>
      <c r="F727" s="1" t="s">
        <v>12</v>
      </c>
      <c r="G727" s="1">
        <v>40932.429499999998</v>
      </c>
      <c r="H727" t="str">
        <f t="shared" si="11"/>
        <v>30-39</v>
      </c>
    </row>
    <row r="728" spans="1:8" ht="15.75" customHeight="1">
      <c r="A728" s="1">
        <v>41</v>
      </c>
      <c r="B728" s="1" t="s">
        <v>10</v>
      </c>
      <c r="C728" s="1">
        <v>28.405000000000001</v>
      </c>
      <c r="D728" s="1">
        <v>1</v>
      </c>
      <c r="E728" s="1" t="s">
        <v>11</v>
      </c>
      <c r="F728" s="1" t="s">
        <v>13</v>
      </c>
      <c r="G728" s="1">
        <v>6664.68595</v>
      </c>
      <c r="H728" t="str">
        <f t="shared" si="11"/>
        <v>40-49</v>
      </c>
    </row>
    <row r="729" spans="1:8" ht="15.75" customHeight="1">
      <c r="A729" s="1">
        <v>29</v>
      </c>
      <c r="B729" s="1" t="s">
        <v>7</v>
      </c>
      <c r="C729" s="1">
        <v>21.754999999999999</v>
      </c>
      <c r="D729" s="1">
        <v>1</v>
      </c>
      <c r="E729" s="1" t="s">
        <v>8</v>
      </c>
      <c r="F729" s="1" t="s">
        <v>14</v>
      </c>
      <c r="G729" s="1">
        <v>16657.71745</v>
      </c>
      <c r="H729" t="str">
        <f t="shared" si="11"/>
        <v>18-29</v>
      </c>
    </row>
    <row r="730" spans="1:8" ht="15.75" customHeight="1">
      <c r="A730" s="1">
        <v>18</v>
      </c>
      <c r="B730" s="1" t="s">
        <v>7</v>
      </c>
      <c r="C730" s="1">
        <v>40.28</v>
      </c>
      <c r="D730" s="1">
        <v>0</v>
      </c>
      <c r="E730" s="1" t="s">
        <v>11</v>
      </c>
      <c r="F730" s="1" t="s">
        <v>14</v>
      </c>
      <c r="G730" s="1">
        <v>2217.6012000000001</v>
      </c>
      <c r="H730" t="str">
        <f t="shared" si="11"/>
        <v>18-29</v>
      </c>
    </row>
    <row r="731" spans="1:8" ht="15.75" customHeight="1">
      <c r="A731" s="1">
        <v>41</v>
      </c>
      <c r="B731" s="1" t="s">
        <v>7</v>
      </c>
      <c r="C731" s="1">
        <v>36.08</v>
      </c>
      <c r="D731" s="1">
        <v>1</v>
      </c>
      <c r="E731" s="1" t="s">
        <v>11</v>
      </c>
      <c r="F731" s="1" t="s">
        <v>12</v>
      </c>
      <c r="G731" s="1">
        <v>6781.3541999999998</v>
      </c>
      <c r="H731" t="str">
        <f t="shared" si="11"/>
        <v>40-49</v>
      </c>
    </row>
    <row r="732" spans="1:8" ht="15.75" customHeight="1">
      <c r="A732" s="1">
        <v>35</v>
      </c>
      <c r="B732" s="1" t="s">
        <v>10</v>
      </c>
      <c r="C732" s="1">
        <v>24.42</v>
      </c>
      <c r="D732" s="1">
        <v>3</v>
      </c>
      <c r="E732" s="1" t="s">
        <v>8</v>
      </c>
      <c r="F732" s="1" t="s">
        <v>12</v>
      </c>
      <c r="G732" s="1">
        <v>19361.998800000001</v>
      </c>
      <c r="H732" t="str">
        <f t="shared" si="11"/>
        <v>30-39</v>
      </c>
    </row>
    <row r="733" spans="1:8" ht="15.75" customHeight="1">
      <c r="A733" s="1">
        <v>53</v>
      </c>
      <c r="B733" s="1" t="s">
        <v>10</v>
      </c>
      <c r="C733" s="1">
        <v>21.4</v>
      </c>
      <c r="D733" s="1">
        <v>1</v>
      </c>
      <c r="E733" s="1" t="s">
        <v>11</v>
      </c>
      <c r="F733" s="1" t="s">
        <v>9</v>
      </c>
      <c r="G733" s="1">
        <v>10065.413</v>
      </c>
      <c r="H733" t="str">
        <f t="shared" si="11"/>
        <v>50-59</v>
      </c>
    </row>
    <row r="734" spans="1:8" ht="15.75" customHeight="1">
      <c r="A734" s="1">
        <v>24</v>
      </c>
      <c r="B734" s="1" t="s">
        <v>7</v>
      </c>
      <c r="C734" s="1">
        <v>30.1</v>
      </c>
      <c r="D734" s="1">
        <v>3</v>
      </c>
      <c r="E734" s="1" t="s">
        <v>11</v>
      </c>
      <c r="F734" s="1" t="s">
        <v>9</v>
      </c>
      <c r="G734" s="1">
        <v>4234.9269999999997</v>
      </c>
      <c r="H734" t="str">
        <f t="shared" si="11"/>
        <v>18-29</v>
      </c>
    </row>
    <row r="735" spans="1:8" ht="15.75" customHeight="1">
      <c r="A735" s="1">
        <v>48</v>
      </c>
      <c r="B735" s="1" t="s">
        <v>7</v>
      </c>
      <c r="C735" s="1">
        <v>27.265000000000001</v>
      </c>
      <c r="D735" s="1">
        <v>1</v>
      </c>
      <c r="E735" s="1" t="s">
        <v>11</v>
      </c>
      <c r="F735" s="1" t="s">
        <v>14</v>
      </c>
      <c r="G735" s="1">
        <v>9447.2503500000003</v>
      </c>
      <c r="H735" t="str">
        <f t="shared" si="11"/>
        <v>40-49</v>
      </c>
    </row>
    <row r="736" spans="1:8" ht="15.75" customHeight="1">
      <c r="A736" s="1">
        <v>59</v>
      </c>
      <c r="B736" s="1" t="s">
        <v>7</v>
      </c>
      <c r="C736" s="1">
        <v>32.1</v>
      </c>
      <c r="D736" s="1">
        <v>3</v>
      </c>
      <c r="E736" s="1" t="s">
        <v>11</v>
      </c>
      <c r="F736" s="1" t="s">
        <v>9</v>
      </c>
      <c r="G736" s="1">
        <v>14007.222</v>
      </c>
      <c r="H736" t="str">
        <f t="shared" si="11"/>
        <v>50-59</v>
      </c>
    </row>
    <row r="737" spans="1:8" ht="15.75" customHeight="1">
      <c r="A737" s="1">
        <v>49</v>
      </c>
      <c r="B737" s="1" t="s">
        <v>7</v>
      </c>
      <c r="C737" s="1">
        <v>34.770000000000003</v>
      </c>
      <c r="D737" s="1">
        <v>1</v>
      </c>
      <c r="E737" s="1" t="s">
        <v>11</v>
      </c>
      <c r="F737" s="1" t="s">
        <v>13</v>
      </c>
      <c r="G737" s="1">
        <v>9583.8932999999997</v>
      </c>
      <c r="H737" t="str">
        <f t="shared" si="11"/>
        <v>40-49</v>
      </c>
    </row>
    <row r="738" spans="1:8" ht="15.75" customHeight="1">
      <c r="A738" s="1">
        <v>37</v>
      </c>
      <c r="B738" s="1" t="s">
        <v>7</v>
      </c>
      <c r="C738" s="1">
        <v>38.39</v>
      </c>
      <c r="D738" s="1">
        <v>0</v>
      </c>
      <c r="E738" s="1" t="s">
        <v>8</v>
      </c>
      <c r="F738" s="1" t="s">
        <v>12</v>
      </c>
      <c r="G738" s="1">
        <v>40419.019099999998</v>
      </c>
      <c r="H738" t="str">
        <f t="shared" si="11"/>
        <v>30-39</v>
      </c>
    </row>
    <row r="739" spans="1:8" ht="15.75" customHeight="1">
      <c r="A739" s="1">
        <v>26</v>
      </c>
      <c r="B739" s="1" t="s">
        <v>10</v>
      </c>
      <c r="C739" s="1">
        <v>23.7</v>
      </c>
      <c r="D739" s="1">
        <v>2</v>
      </c>
      <c r="E739" s="1" t="s">
        <v>11</v>
      </c>
      <c r="F739" s="1" t="s">
        <v>9</v>
      </c>
      <c r="G739" s="1">
        <v>3484.3310000000001</v>
      </c>
      <c r="H739" t="str">
        <f t="shared" si="11"/>
        <v>18-29</v>
      </c>
    </row>
    <row r="740" spans="1:8" ht="15.75" customHeight="1">
      <c r="A740" s="1">
        <v>23</v>
      </c>
      <c r="B740" s="1" t="s">
        <v>10</v>
      </c>
      <c r="C740" s="1">
        <v>31.73</v>
      </c>
      <c r="D740" s="1">
        <v>3</v>
      </c>
      <c r="E740" s="1" t="s">
        <v>8</v>
      </c>
      <c r="F740" s="1" t="s">
        <v>14</v>
      </c>
      <c r="G740" s="1">
        <v>36189.101699999999</v>
      </c>
      <c r="H740" t="str">
        <f t="shared" si="11"/>
        <v>18-29</v>
      </c>
    </row>
    <row r="741" spans="1:8" ht="15.75" customHeight="1">
      <c r="A741" s="1">
        <v>29</v>
      </c>
      <c r="B741" s="1" t="s">
        <v>10</v>
      </c>
      <c r="C741" s="1">
        <v>35.5</v>
      </c>
      <c r="D741" s="1">
        <v>2</v>
      </c>
      <c r="E741" s="1" t="s">
        <v>8</v>
      </c>
      <c r="F741" s="1" t="s">
        <v>9</v>
      </c>
      <c r="G741" s="1">
        <v>44585.455869999998</v>
      </c>
      <c r="H741" t="str">
        <f t="shared" si="11"/>
        <v>18-29</v>
      </c>
    </row>
    <row r="742" spans="1:8" ht="15.75" customHeight="1">
      <c r="A742" s="1">
        <v>45</v>
      </c>
      <c r="B742" s="1" t="s">
        <v>10</v>
      </c>
      <c r="C742" s="1">
        <v>24.035</v>
      </c>
      <c r="D742" s="1">
        <v>2</v>
      </c>
      <c r="E742" s="1" t="s">
        <v>11</v>
      </c>
      <c r="F742" s="1" t="s">
        <v>14</v>
      </c>
      <c r="G742" s="1">
        <v>8604.4836500000001</v>
      </c>
      <c r="H742" t="str">
        <f t="shared" si="11"/>
        <v>40-49</v>
      </c>
    </row>
    <row r="743" spans="1:8" ht="15.75" customHeight="1">
      <c r="A743" s="1">
        <v>27</v>
      </c>
      <c r="B743" s="1" t="s">
        <v>10</v>
      </c>
      <c r="C743" s="1">
        <v>29.15</v>
      </c>
      <c r="D743" s="1">
        <v>0</v>
      </c>
      <c r="E743" s="1" t="s">
        <v>8</v>
      </c>
      <c r="F743" s="1" t="s">
        <v>12</v>
      </c>
      <c r="G743" s="1">
        <v>18246.495500000001</v>
      </c>
      <c r="H743" t="str">
        <f t="shared" si="11"/>
        <v>18-29</v>
      </c>
    </row>
    <row r="744" spans="1:8" ht="15.75" customHeight="1">
      <c r="A744" s="1">
        <v>53</v>
      </c>
      <c r="B744" s="1" t="s">
        <v>10</v>
      </c>
      <c r="C744" s="1">
        <v>34.104999999999997</v>
      </c>
      <c r="D744" s="1">
        <v>0</v>
      </c>
      <c r="E744" s="1" t="s">
        <v>8</v>
      </c>
      <c r="F744" s="1" t="s">
        <v>14</v>
      </c>
      <c r="G744" s="1">
        <v>43254.417950000003</v>
      </c>
      <c r="H744" t="str">
        <f t="shared" si="11"/>
        <v>50-59</v>
      </c>
    </row>
    <row r="745" spans="1:8" ht="15.75" customHeight="1">
      <c r="A745" s="1">
        <v>31</v>
      </c>
      <c r="B745" s="1" t="s">
        <v>7</v>
      </c>
      <c r="C745" s="1">
        <v>26.62</v>
      </c>
      <c r="D745" s="1">
        <v>0</v>
      </c>
      <c r="E745" s="1" t="s">
        <v>11</v>
      </c>
      <c r="F745" s="1" t="s">
        <v>12</v>
      </c>
      <c r="G745" s="1">
        <v>3757.8447999999999</v>
      </c>
      <c r="H745" t="str">
        <f t="shared" si="11"/>
        <v>30-39</v>
      </c>
    </row>
    <row r="746" spans="1:8" ht="15.75" customHeight="1">
      <c r="A746" s="1">
        <v>50</v>
      </c>
      <c r="B746" s="1" t="s">
        <v>10</v>
      </c>
      <c r="C746" s="1">
        <v>26.41</v>
      </c>
      <c r="D746" s="1">
        <v>0</v>
      </c>
      <c r="E746" s="1" t="s">
        <v>11</v>
      </c>
      <c r="F746" s="1" t="s">
        <v>13</v>
      </c>
      <c r="G746" s="1">
        <v>8827.2098999999998</v>
      </c>
      <c r="H746" t="str">
        <f t="shared" si="11"/>
        <v>50-59</v>
      </c>
    </row>
    <row r="747" spans="1:8" ht="15.75" customHeight="1">
      <c r="A747" s="1">
        <v>50</v>
      </c>
      <c r="B747" s="1" t="s">
        <v>7</v>
      </c>
      <c r="C747" s="1">
        <v>30.114999999999998</v>
      </c>
      <c r="D747" s="1">
        <v>1</v>
      </c>
      <c r="E747" s="1" t="s">
        <v>11</v>
      </c>
      <c r="F747" s="1" t="s">
        <v>13</v>
      </c>
      <c r="G747" s="1">
        <v>9910.3598500000007</v>
      </c>
      <c r="H747" t="str">
        <f t="shared" si="11"/>
        <v>50-59</v>
      </c>
    </row>
    <row r="748" spans="1:8" ht="15.75" customHeight="1">
      <c r="A748" s="1">
        <v>34</v>
      </c>
      <c r="B748" s="1" t="s">
        <v>10</v>
      </c>
      <c r="C748" s="1">
        <v>27</v>
      </c>
      <c r="D748" s="1">
        <v>2</v>
      </c>
      <c r="E748" s="1" t="s">
        <v>11</v>
      </c>
      <c r="F748" s="1" t="s">
        <v>9</v>
      </c>
      <c r="G748" s="1">
        <v>11737.848840000001</v>
      </c>
      <c r="H748" t="str">
        <f t="shared" si="11"/>
        <v>30-39</v>
      </c>
    </row>
    <row r="749" spans="1:8" ht="15.75" customHeight="1">
      <c r="A749" s="1">
        <v>19</v>
      </c>
      <c r="B749" s="1" t="s">
        <v>10</v>
      </c>
      <c r="C749" s="1">
        <v>21.754999999999999</v>
      </c>
      <c r="D749" s="1">
        <v>0</v>
      </c>
      <c r="E749" s="1" t="s">
        <v>11</v>
      </c>
      <c r="F749" s="1" t="s">
        <v>13</v>
      </c>
      <c r="G749" s="1">
        <v>1627.2824499999999</v>
      </c>
      <c r="H749" t="str">
        <f t="shared" si="11"/>
        <v>18-29</v>
      </c>
    </row>
    <row r="750" spans="1:8" ht="15.75" customHeight="1">
      <c r="A750" s="1">
        <v>47</v>
      </c>
      <c r="B750" s="1" t="s">
        <v>7</v>
      </c>
      <c r="C750" s="1">
        <v>36</v>
      </c>
      <c r="D750" s="1">
        <v>1</v>
      </c>
      <c r="E750" s="1" t="s">
        <v>11</v>
      </c>
      <c r="F750" s="1" t="s">
        <v>9</v>
      </c>
      <c r="G750" s="1">
        <v>8556.9069999999992</v>
      </c>
      <c r="H750" t="str">
        <f t="shared" si="11"/>
        <v>40-49</v>
      </c>
    </row>
    <row r="751" spans="1:8" ht="15.75" customHeight="1">
      <c r="A751" s="1">
        <v>28</v>
      </c>
      <c r="B751" s="1" t="s">
        <v>10</v>
      </c>
      <c r="C751" s="1">
        <v>30.875</v>
      </c>
      <c r="D751" s="1">
        <v>0</v>
      </c>
      <c r="E751" s="1" t="s">
        <v>11</v>
      </c>
      <c r="F751" s="1" t="s">
        <v>13</v>
      </c>
      <c r="G751" s="1">
        <v>3062.5082499999999</v>
      </c>
      <c r="H751" t="str">
        <f t="shared" si="11"/>
        <v>18-29</v>
      </c>
    </row>
    <row r="752" spans="1:8" ht="15.75" customHeight="1">
      <c r="A752" s="1">
        <v>37</v>
      </c>
      <c r="B752" s="1" t="s">
        <v>7</v>
      </c>
      <c r="C752" s="1">
        <v>26.4</v>
      </c>
      <c r="D752" s="1">
        <v>0</v>
      </c>
      <c r="E752" s="1" t="s">
        <v>8</v>
      </c>
      <c r="F752" s="1" t="s">
        <v>12</v>
      </c>
      <c r="G752" s="1">
        <v>19539.242999999999</v>
      </c>
      <c r="H752" t="str">
        <f t="shared" si="11"/>
        <v>30-39</v>
      </c>
    </row>
    <row r="753" spans="1:8" ht="15.75" customHeight="1">
      <c r="A753" s="1">
        <v>21</v>
      </c>
      <c r="B753" s="1" t="s">
        <v>10</v>
      </c>
      <c r="C753" s="1">
        <v>28.975000000000001</v>
      </c>
      <c r="D753" s="1">
        <v>0</v>
      </c>
      <c r="E753" s="1" t="s">
        <v>11</v>
      </c>
      <c r="F753" s="1" t="s">
        <v>13</v>
      </c>
      <c r="G753" s="1">
        <v>1906.35825</v>
      </c>
      <c r="H753" t="str">
        <f t="shared" si="11"/>
        <v>18-29</v>
      </c>
    </row>
    <row r="754" spans="1:8" ht="15.75" customHeight="1">
      <c r="A754" s="1">
        <v>64</v>
      </c>
      <c r="B754" s="1" t="s">
        <v>10</v>
      </c>
      <c r="C754" s="1">
        <v>37.905000000000001</v>
      </c>
      <c r="D754" s="1">
        <v>0</v>
      </c>
      <c r="E754" s="1" t="s">
        <v>11</v>
      </c>
      <c r="F754" s="1" t="s">
        <v>13</v>
      </c>
      <c r="G754" s="1">
        <v>14210.53595</v>
      </c>
      <c r="H754" t="str">
        <f t="shared" si="11"/>
        <v>60+</v>
      </c>
    </row>
    <row r="755" spans="1:8" ht="15.75" customHeight="1">
      <c r="A755" s="1">
        <v>58</v>
      </c>
      <c r="B755" s="1" t="s">
        <v>7</v>
      </c>
      <c r="C755" s="1">
        <v>22.77</v>
      </c>
      <c r="D755" s="1">
        <v>0</v>
      </c>
      <c r="E755" s="1" t="s">
        <v>11</v>
      </c>
      <c r="F755" s="1" t="s">
        <v>12</v>
      </c>
      <c r="G755" s="1">
        <v>11833.782300000001</v>
      </c>
      <c r="H755" t="str">
        <f t="shared" si="11"/>
        <v>50-59</v>
      </c>
    </row>
    <row r="756" spans="1:8" ht="15.75" customHeight="1">
      <c r="A756" s="1">
        <v>24</v>
      </c>
      <c r="B756" s="1" t="s">
        <v>10</v>
      </c>
      <c r="C756" s="1">
        <v>33.630000000000003</v>
      </c>
      <c r="D756" s="1">
        <v>4</v>
      </c>
      <c r="E756" s="1" t="s">
        <v>11</v>
      </c>
      <c r="F756" s="1" t="s">
        <v>14</v>
      </c>
      <c r="G756" s="1">
        <v>17128.426080000001</v>
      </c>
      <c r="H756" t="str">
        <f t="shared" si="11"/>
        <v>18-29</v>
      </c>
    </row>
    <row r="757" spans="1:8" ht="15.75" customHeight="1">
      <c r="A757" s="1">
        <v>31</v>
      </c>
      <c r="B757" s="1" t="s">
        <v>10</v>
      </c>
      <c r="C757" s="1">
        <v>27.645</v>
      </c>
      <c r="D757" s="1">
        <v>2</v>
      </c>
      <c r="E757" s="1" t="s">
        <v>11</v>
      </c>
      <c r="F757" s="1" t="s">
        <v>14</v>
      </c>
      <c r="G757" s="1">
        <v>5031.26955</v>
      </c>
      <c r="H757" t="str">
        <f t="shared" si="11"/>
        <v>30-39</v>
      </c>
    </row>
    <row r="758" spans="1:8" ht="15.75" customHeight="1">
      <c r="A758" s="1">
        <v>39</v>
      </c>
      <c r="B758" s="1" t="s">
        <v>7</v>
      </c>
      <c r="C758" s="1">
        <v>22.8</v>
      </c>
      <c r="D758" s="1">
        <v>3</v>
      </c>
      <c r="E758" s="1" t="s">
        <v>11</v>
      </c>
      <c r="F758" s="1" t="s">
        <v>14</v>
      </c>
      <c r="G758" s="1">
        <v>7985.8149999999996</v>
      </c>
      <c r="H758" t="str">
        <f t="shared" si="11"/>
        <v>30-39</v>
      </c>
    </row>
    <row r="759" spans="1:8" ht="15.75" customHeight="1">
      <c r="A759" s="1">
        <v>47</v>
      </c>
      <c r="B759" s="1" t="s">
        <v>7</v>
      </c>
      <c r="C759" s="1">
        <v>27.83</v>
      </c>
      <c r="D759" s="1">
        <v>0</v>
      </c>
      <c r="E759" s="1" t="s">
        <v>8</v>
      </c>
      <c r="F759" s="1" t="s">
        <v>12</v>
      </c>
      <c r="G759" s="1">
        <v>23065.420699999999</v>
      </c>
      <c r="H759" t="str">
        <f t="shared" si="11"/>
        <v>40-49</v>
      </c>
    </row>
    <row r="760" spans="1:8" ht="15.75" customHeight="1">
      <c r="A760" s="1">
        <v>30</v>
      </c>
      <c r="B760" s="1" t="s">
        <v>10</v>
      </c>
      <c r="C760" s="1">
        <v>37.43</v>
      </c>
      <c r="D760" s="1">
        <v>3</v>
      </c>
      <c r="E760" s="1" t="s">
        <v>11</v>
      </c>
      <c r="F760" s="1" t="s">
        <v>14</v>
      </c>
      <c r="G760" s="1">
        <v>5428.7277000000004</v>
      </c>
      <c r="H760" t="str">
        <f t="shared" si="11"/>
        <v>30-39</v>
      </c>
    </row>
    <row r="761" spans="1:8" ht="15.75" customHeight="1">
      <c r="A761" s="1">
        <v>18</v>
      </c>
      <c r="B761" s="1" t="s">
        <v>10</v>
      </c>
      <c r="C761" s="1">
        <v>38.17</v>
      </c>
      <c r="D761" s="1">
        <v>0</v>
      </c>
      <c r="E761" s="1" t="s">
        <v>8</v>
      </c>
      <c r="F761" s="1" t="s">
        <v>12</v>
      </c>
      <c r="G761" s="1">
        <v>36307.798300000002</v>
      </c>
      <c r="H761" t="str">
        <f t="shared" si="11"/>
        <v>18-29</v>
      </c>
    </row>
    <row r="762" spans="1:8" ht="15.75" customHeight="1">
      <c r="A762" s="1">
        <v>22</v>
      </c>
      <c r="B762" s="1" t="s">
        <v>7</v>
      </c>
      <c r="C762" s="1">
        <v>34.58</v>
      </c>
      <c r="D762" s="1">
        <v>2</v>
      </c>
      <c r="E762" s="1" t="s">
        <v>11</v>
      </c>
      <c r="F762" s="1" t="s">
        <v>14</v>
      </c>
      <c r="G762" s="1">
        <v>3925.7582000000002</v>
      </c>
      <c r="H762" t="str">
        <f t="shared" si="11"/>
        <v>18-29</v>
      </c>
    </row>
    <row r="763" spans="1:8" ht="15.75" customHeight="1">
      <c r="A763" s="1">
        <v>23</v>
      </c>
      <c r="B763" s="1" t="s">
        <v>10</v>
      </c>
      <c r="C763" s="1">
        <v>35.200000000000003</v>
      </c>
      <c r="D763" s="1">
        <v>1</v>
      </c>
      <c r="E763" s="1" t="s">
        <v>11</v>
      </c>
      <c r="F763" s="1" t="s">
        <v>9</v>
      </c>
      <c r="G763" s="1">
        <v>2416.9549999999999</v>
      </c>
      <c r="H763" t="str">
        <f t="shared" si="11"/>
        <v>18-29</v>
      </c>
    </row>
    <row r="764" spans="1:8" ht="15.75" customHeight="1">
      <c r="A764" s="1">
        <v>33</v>
      </c>
      <c r="B764" s="1" t="s">
        <v>10</v>
      </c>
      <c r="C764" s="1">
        <v>27.1</v>
      </c>
      <c r="D764" s="1">
        <v>1</v>
      </c>
      <c r="E764" s="1" t="s">
        <v>8</v>
      </c>
      <c r="F764" s="1" t="s">
        <v>9</v>
      </c>
      <c r="G764" s="1">
        <v>19040.876</v>
      </c>
      <c r="H764" t="str">
        <f t="shared" si="11"/>
        <v>30-39</v>
      </c>
    </row>
    <row r="765" spans="1:8" ht="15.75" customHeight="1">
      <c r="A765" s="1">
        <v>27</v>
      </c>
      <c r="B765" s="1" t="s">
        <v>10</v>
      </c>
      <c r="C765" s="1">
        <v>26.03</v>
      </c>
      <c r="D765" s="1">
        <v>0</v>
      </c>
      <c r="E765" s="1" t="s">
        <v>11</v>
      </c>
      <c r="F765" s="1" t="s">
        <v>14</v>
      </c>
      <c r="G765" s="1">
        <v>3070.8087</v>
      </c>
      <c r="H765" t="str">
        <f t="shared" si="11"/>
        <v>18-29</v>
      </c>
    </row>
    <row r="766" spans="1:8" ht="15.75" customHeight="1">
      <c r="A766" s="1">
        <v>45</v>
      </c>
      <c r="B766" s="1" t="s">
        <v>7</v>
      </c>
      <c r="C766" s="1">
        <v>25.175000000000001</v>
      </c>
      <c r="D766" s="1">
        <v>2</v>
      </c>
      <c r="E766" s="1" t="s">
        <v>11</v>
      </c>
      <c r="F766" s="1" t="s">
        <v>14</v>
      </c>
      <c r="G766" s="1">
        <v>9095.0682500000003</v>
      </c>
      <c r="H766" t="str">
        <f t="shared" si="11"/>
        <v>40-49</v>
      </c>
    </row>
    <row r="767" spans="1:8" ht="15.75" customHeight="1">
      <c r="A767" s="1">
        <v>57</v>
      </c>
      <c r="B767" s="1" t="s">
        <v>7</v>
      </c>
      <c r="C767" s="1">
        <v>31.824999999999999</v>
      </c>
      <c r="D767" s="1">
        <v>0</v>
      </c>
      <c r="E767" s="1" t="s">
        <v>11</v>
      </c>
      <c r="F767" s="1" t="s">
        <v>13</v>
      </c>
      <c r="G767" s="1">
        <v>11842.623750000001</v>
      </c>
      <c r="H767" t="str">
        <f t="shared" si="11"/>
        <v>50-59</v>
      </c>
    </row>
    <row r="768" spans="1:8" ht="15.75" customHeight="1">
      <c r="A768" s="1">
        <v>47</v>
      </c>
      <c r="B768" s="1" t="s">
        <v>10</v>
      </c>
      <c r="C768" s="1">
        <v>32.299999999999997</v>
      </c>
      <c r="D768" s="1">
        <v>1</v>
      </c>
      <c r="E768" s="1" t="s">
        <v>11</v>
      </c>
      <c r="F768" s="1" t="s">
        <v>9</v>
      </c>
      <c r="G768" s="1">
        <v>8062.7640000000001</v>
      </c>
      <c r="H768" t="str">
        <f t="shared" si="11"/>
        <v>40-49</v>
      </c>
    </row>
    <row r="769" spans="1:8" ht="15.75" customHeight="1">
      <c r="A769" s="1">
        <v>42</v>
      </c>
      <c r="B769" s="1" t="s">
        <v>7</v>
      </c>
      <c r="C769" s="1">
        <v>29</v>
      </c>
      <c r="D769" s="1">
        <v>1</v>
      </c>
      <c r="E769" s="1" t="s">
        <v>11</v>
      </c>
      <c r="F769" s="1" t="s">
        <v>9</v>
      </c>
      <c r="G769" s="1">
        <v>7050.6419999999998</v>
      </c>
      <c r="H769" t="str">
        <f t="shared" si="11"/>
        <v>40-49</v>
      </c>
    </row>
    <row r="770" spans="1:8" ht="15.75" customHeight="1">
      <c r="A770" s="1">
        <v>64</v>
      </c>
      <c r="B770" s="1" t="s">
        <v>7</v>
      </c>
      <c r="C770" s="1">
        <v>39.700000000000003</v>
      </c>
      <c r="D770" s="1">
        <v>0</v>
      </c>
      <c r="E770" s="1" t="s">
        <v>11</v>
      </c>
      <c r="F770" s="1" t="s">
        <v>9</v>
      </c>
      <c r="G770" s="1">
        <v>14319.031000000001</v>
      </c>
      <c r="H770" t="str">
        <f t="shared" si="11"/>
        <v>60+</v>
      </c>
    </row>
    <row r="771" spans="1:8" ht="15.75" customHeight="1">
      <c r="A771" s="1">
        <v>38</v>
      </c>
      <c r="B771" s="1" t="s">
        <v>7</v>
      </c>
      <c r="C771" s="1">
        <v>19.475000000000001</v>
      </c>
      <c r="D771" s="1">
        <v>2</v>
      </c>
      <c r="E771" s="1" t="s">
        <v>11</v>
      </c>
      <c r="F771" s="1" t="s">
        <v>13</v>
      </c>
      <c r="G771" s="1">
        <v>6933.2422500000002</v>
      </c>
      <c r="H771" t="str">
        <f t="shared" ref="H771:H834" si="12">IF(A771&lt;30,"18-29",IF(A771&lt;40,"30-39",IF(A771&lt;50,"40-49",IF(A771&lt;60,"50-59","60+"))))</f>
        <v>30-39</v>
      </c>
    </row>
    <row r="772" spans="1:8" ht="15.75" customHeight="1">
      <c r="A772" s="1">
        <v>61</v>
      </c>
      <c r="B772" s="1" t="s">
        <v>10</v>
      </c>
      <c r="C772" s="1">
        <v>36.1</v>
      </c>
      <c r="D772" s="1">
        <v>3</v>
      </c>
      <c r="E772" s="1" t="s">
        <v>11</v>
      </c>
      <c r="F772" s="1" t="s">
        <v>9</v>
      </c>
      <c r="G772" s="1">
        <v>27941.28758</v>
      </c>
      <c r="H772" t="str">
        <f t="shared" si="12"/>
        <v>60+</v>
      </c>
    </row>
    <row r="773" spans="1:8" ht="15.75" customHeight="1">
      <c r="A773" s="1">
        <v>53</v>
      </c>
      <c r="B773" s="1" t="s">
        <v>7</v>
      </c>
      <c r="C773" s="1">
        <v>26.7</v>
      </c>
      <c r="D773" s="1">
        <v>2</v>
      </c>
      <c r="E773" s="1" t="s">
        <v>11</v>
      </c>
      <c r="F773" s="1" t="s">
        <v>9</v>
      </c>
      <c r="G773" s="1">
        <v>11150.78</v>
      </c>
      <c r="H773" t="str">
        <f t="shared" si="12"/>
        <v>50-59</v>
      </c>
    </row>
    <row r="774" spans="1:8" ht="15.75" customHeight="1">
      <c r="A774" s="1">
        <v>44</v>
      </c>
      <c r="B774" s="1" t="s">
        <v>7</v>
      </c>
      <c r="C774" s="1">
        <v>36.479999999999997</v>
      </c>
      <c r="D774" s="1">
        <v>0</v>
      </c>
      <c r="E774" s="1" t="s">
        <v>11</v>
      </c>
      <c r="F774" s="1" t="s">
        <v>14</v>
      </c>
      <c r="G774" s="1">
        <v>12797.20962</v>
      </c>
      <c r="H774" t="str">
        <f t="shared" si="12"/>
        <v>40-49</v>
      </c>
    </row>
    <row r="775" spans="1:8" ht="15.75" customHeight="1">
      <c r="A775" s="1">
        <v>19</v>
      </c>
      <c r="B775" s="1" t="s">
        <v>7</v>
      </c>
      <c r="C775" s="1">
        <v>28.88</v>
      </c>
      <c r="D775" s="1">
        <v>0</v>
      </c>
      <c r="E775" s="1" t="s">
        <v>8</v>
      </c>
      <c r="F775" s="1" t="s">
        <v>13</v>
      </c>
      <c r="G775" s="1">
        <v>17748.5062</v>
      </c>
      <c r="H775" t="str">
        <f t="shared" si="12"/>
        <v>18-29</v>
      </c>
    </row>
    <row r="776" spans="1:8" ht="15.75" customHeight="1">
      <c r="A776" s="1">
        <v>41</v>
      </c>
      <c r="B776" s="1" t="s">
        <v>10</v>
      </c>
      <c r="C776" s="1">
        <v>34.200000000000003</v>
      </c>
      <c r="D776" s="1">
        <v>2</v>
      </c>
      <c r="E776" s="1" t="s">
        <v>11</v>
      </c>
      <c r="F776" s="1" t="s">
        <v>13</v>
      </c>
      <c r="G776" s="1">
        <v>7261.741</v>
      </c>
      <c r="H776" t="str">
        <f t="shared" si="12"/>
        <v>40-49</v>
      </c>
    </row>
    <row r="777" spans="1:8" ht="15.75" customHeight="1">
      <c r="A777" s="1">
        <v>51</v>
      </c>
      <c r="B777" s="1" t="s">
        <v>10</v>
      </c>
      <c r="C777" s="1">
        <v>33.33</v>
      </c>
      <c r="D777" s="1">
        <v>3</v>
      </c>
      <c r="E777" s="1" t="s">
        <v>11</v>
      </c>
      <c r="F777" s="1" t="s">
        <v>12</v>
      </c>
      <c r="G777" s="1">
        <v>10560.4917</v>
      </c>
      <c r="H777" t="str">
        <f t="shared" si="12"/>
        <v>50-59</v>
      </c>
    </row>
    <row r="778" spans="1:8" ht="15.75" customHeight="1">
      <c r="A778" s="1">
        <v>40</v>
      </c>
      <c r="B778" s="1" t="s">
        <v>10</v>
      </c>
      <c r="C778" s="1">
        <v>32.299999999999997</v>
      </c>
      <c r="D778" s="1">
        <v>2</v>
      </c>
      <c r="E778" s="1" t="s">
        <v>11</v>
      </c>
      <c r="F778" s="1" t="s">
        <v>13</v>
      </c>
      <c r="G778" s="1">
        <v>6986.6970000000001</v>
      </c>
      <c r="H778" t="str">
        <f t="shared" si="12"/>
        <v>40-49</v>
      </c>
    </row>
    <row r="779" spans="1:8" ht="15.75" customHeight="1">
      <c r="A779" s="1">
        <v>45</v>
      </c>
      <c r="B779" s="1" t="s">
        <v>10</v>
      </c>
      <c r="C779" s="1">
        <v>39.805</v>
      </c>
      <c r="D779" s="1">
        <v>0</v>
      </c>
      <c r="E779" s="1" t="s">
        <v>11</v>
      </c>
      <c r="F779" s="1" t="s">
        <v>14</v>
      </c>
      <c r="G779" s="1">
        <v>7448.4039499999999</v>
      </c>
      <c r="H779" t="str">
        <f t="shared" si="12"/>
        <v>40-49</v>
      </c>
    </row>
    <row r="780" spans="1:8" ht="15.75" customHeight="1">
      <c r="A780" s="1">
        <v>35</v>
      </c>
      <c r="B780" s="1" t="s">
        <v>10</v>
      </c>
      <c r="C780" s="1">
        <v>34.32</v>
      </c>
      <c r="D780" s="1">
        <v>3</v>
      </c>
      <c r="E780" s="1" t="s">
        <v>11</v>
      </c>
      <c r="F780" s="1" t="s">
        <v>12</v>
      </c>
      <c r="G780" s="1">
        <v>5934.3797999999997</v>
      </c>
      <c r="H780" t="str">
        <f t="shared" si="12"/>
        <v>30-39</v>
      </c>
    </row>
    <row r="781" spans="1:8" ht="15.75" customHeight="1">
      <c r="A781" s="1">
        <v>53</v>
      </c>
      <c r="B781" s="1" t="s">
        <v>10</v>
      </c>
      <c r="C781" s="1">
        <v>28.88</v>
      </c>
      <c r="D781" s="1">
        <v>0</v>
      </c>
      <c r="E781" s="1" t="s">
        <v>11</v>
      </c>
      <c r="F781" s="1" t="s">
        <v>13</v>
      </c>
      <c r="G781" s="1">
        <v>9869.8101999999999</v>
      </c>
      <c r="H781" t="str">
        <f t="shared" si="12"/>
        <v>50-59</v>
      </c>
    </row>
    <row r="782" spans="1:8" ht="15.75" customHeight="1">
      <c r="A782" s="1">
        <v>30</v>
      </c>
      <c r="B782" s="1" t="s">
        <v>10</v>
      </c>
      <c r="C782" s="1">
        <v>24.4</v>
      </c>
      <c r="D782" s="1">
        <v>3</v>
      </c>
      <c r="E782" s="1" t="s">
        <v>8</v>
      </c>
      <c r="F782" s="1" t="s">
        <v>9</v>
      </c>
      <c r="G782" s="1">
        <v>18259.216</v>
      </c>
      <c r="H782" t="str">
        <f t="shared" si="12"/>
        <v>30-39</v>
      </c>
    </row>
    <row r="783" spans="1:8" ht="15.75" customHeight="1">
      <c r="A783" s="1">
        <v>18</v>
      </c>
      <c r="B783" s="1" t="s">
        <v>10</v>
      </c>
      <c r="C783" s="1">
        <v>41.14</v>
      </c>
      <c r="D783" s="1">
        <v>0</v>
      </c>
      <c r="E783" s="1" t="s">
        <v>11</v>
      </c>
      <c r="F783" s="1" t="s">
        <v>12</v>
      </c>
      <c r="G783" s="1">
        <v>1146.7965999999999</v>
      </c>
      <c r="H783" t="str">
        <f t="shared" si="12"/>
        <v>18-29</v>
      </c>
    </row>
    <row r="784" spans="1:8" ht="15.75" customHeight="1">
      <c r="A784" s="1">
        <v>51</v>
      </c>
      <c r="B784" s="1" t="s">
        <v>10</v>
      </c>
      <c r="C784" s="1">
        <v>35.97</v>
      </c>
      <c r="D784" s="1">
        <v>1</v>
      </c>
      <c r="E784" s="1" t="s">
        <v>11</v>
      </c>
      <c r="F784" s="1" t="s">
        <v>12</v>
      </c>
      <c r="G784" s="1">
        <v>9386.1612999999998</v>
      </c>
      <c r="H784" t="str">
        <f t="shared" si="12"/>
        <v>50-59</v>
      </c>
    </row>
    <row r="785" spans="1:8" ht="15.75" customHeight="1">
      <c r="A785" s="1">
        <v>50</v>
      </c>
      <c r="B785" s="1" t="s">
        <v>7</v>
      </c>
      <c r="C785" s="1">
        <v>27.6</v>
      </c>
      <c r="D785" s="1">
        <v>1</v>
      </c>
      <c r="E785" s="1" t="s">
        <v>8</v>
      </c>
      <c r="F785" s="1" t="s">
        <v>9</v>
      </c>
      <c r="G785" s="1">
        <v>24520.263999999999</v>
      </c>
      <c r="H785" t="str">
        <f t="shared" si="12"/>
        <v>50-59</v>
      </c>
    </row>
    <row r="786" spans="1:8" ht="15.75" customHeight="1">
      <c r="A786" s="1">
        <v>31</v>
      </c>
      <c r="B786" s="1" t="s">
        <v>7</v>
      </c>
      <c r="C786" s="1">
        <v>29.26</v>
      </c>
      <c r="D786" s="1">
        <v>1</v>
      </c>
      <c r="E786" s="1" t="s">
        <v>11</v>
      </c>
      <c r="F786" s="1" t="s">
        <v>12</v>
      </c>
      <c r="G786" s="1">
        <v>4350.5144</v>
      </c>
      <c r="H786" t="str">
        <f t="shared" si="12"/>
        <v>30-39</v>
      </c>
    </row>
    <row r="787" spans="1:8" ht="15.75" customHeight="1">
      <c r="A787" s="1">
        <v>35</v>
      </c>
      <c r="B787" s="1" t="s">
        <v>7</v>
      </c>
      <c r="C787" s="1">
        <v>27.7</v>
      </c>
      <c r="D787" s="1">
        <v>3</v>
      </c>
      <c r="E787" s="1" t="s">
        <v>11</v>
      </c>
      <c r="F787" s="1" t="s">
        <v>9</v>
      </c>
      <c r="G787" s="1">
        <v>6414.1779999999999</v>
      </c>
      <c r="H787" t="str">
        <f t="shared" si="12"/>
        <v>30-39</v>
      </c>
    </row>
    <row r="788" spans="1:8" ht="15.75" customHeight="1">
      <c r="A788" s="1">
        <v>60</v>
      </c>
      <c r="B788" s="1" t="s">
        <v>10</v>
      </c>
      <c r="C788" s="1">
        <v>36.954999999999998</v>
      </c>
      <c r="D788" s="1">
        <v>0</v>
      </c>
      <c r="E788" s="1" t="s">
        <v>11</v>
      </c>
      <c r="F788" s="1" t="s">
        <v>14</v>
      </c>
      <c r="G788" s="1">
        <v>12741.167450000001</v>
      </c>
      <c r="H788" t="str">
        <f t="shared" si="12"/>
        <v>60+</v>
      </c>
    </row>
    <row r="789" spans="1:8" ht="15.75" customHeight="1">
      <c r="A789" s="1">
        <v>21</v>
      </c>
      <c r="B789" s="1" t="s">
        <v>10</v>
      </c>
      <c r="C789" s="1">
        <v>36.86</v>
      </c>
      <c r="D789" s="1">
        <v>0</v>
      </c>
      <c r="E789" s="1" t="s">
        <v>11</v>
      </c>
      <c r="F789" s="1" t="s">
        <v>13</v>
      </c>
      <c r="G789" s="1">
        <v>1917.3184000000001</v>
      </c>
      <c r="H789" t="str">
        <f t="shared" si="12"/>
        <v>18-29</v>
      </c>
    </row>
    <row r="790" spans="1:8" ht="15.75" customHeight="1">
      <c r="A790" s="1">
        <v>29</v>
      </c>
      <c r="B790" s="1" t="s">
        <v>10</v>
      </c>
      <c r="C790" s="1">
        <v>22.515000000000001</v>
      </c>
      <c r="D790" s="1">
        <v>3</v>
      </c>
      <c r="E790" s="1" t="s">
        <v>11</v>
      </c>
      <c r="F790" s="1" t="s">
        <v>14</v>
      </c>
      <c r="G790" s="1">
        <v>5209.5788499999999</v>
      </c>
      <c r="H790" t="str">
        <f t="shared" si="12"/>
        <v>18-29</v>
      </c>
    </row>
    <row r="791" spans="1:8" ht="15.75" customHeight="1">
      <c r="A791" s="1">
        <v>62</v>
      </c>
      <c r="B791" s="1" t="s">
        <v>7</v>
      </c>
      <c r="C791" s="1">
        <v>29.92</v>
      </c>
      <c r="D791" s="1">
        <v>0</v>
      </c>
      <c r="E791" s="1" t="s">
        <v>11</v>
      </c>
      <c r="F791" s="1" t="s">
        <v>12</v>
      </c>
      <c r="G791" s="1">
        <v>13457.960800000001</v>
      </c>
      <c r="H791" t="str">
        <f t="shared" si="12"/>
        <v>60+</v>
      </c>
    </row>
    <row r="792" spans="1:8" ht="15.75" customHeight="1">
      <c r="A792" s="1">
        <v>39</v>
      </c>
      <c r="B792" s="1" t="s">
        <v>7</v>
      </c>
      <c r="C792" s="1">
        <v>41.8</v>
      </c>
      <c r="D792" s="1">
        <v>0</v>
      </c>
      <c r="E792" s="1" t="s">
        <v>11</v>
      </c>
      <c r="F792" s="1" t="s">
        <v>12</v>
      </c>
      <c r="G792" s="1">
        <v>5662.2250000000004</v>
      </c>
      <c r="H792" t="str">
        <f t="shared" si="12"/>
        <v>30-39</v>
      </c>
    </row>
    <row r="793" spans="1:8" ht="15.75" customHeight="1">
      <c r="A793" s="1">
        <v>19</v>
      </c>
      <c r="B793" s="1" t="s">
        <v>10</v>
      </c>
      <c r="C793" s="1">
        <v>27.6</v>
      </c>
      <c r="D793" s="1">
        <v>0</v>
      </c>
      <c r="E793" s="1" t="s">
        <v>11</v>
      </c>
      <c r="F793" s="1" t="s">
        <v>9</v>
      </c>
      <c r="G793" s="1">
        <v>1252.4069999999999</v>
      </c>
      <c r="H793" t="str">
        <f t="shared" si="12"/>
        <v>18-29</v>
      </c>
    </row>
    <row r="794" spans="1:8" ht="15.75" customHeight="1">
      <c r="A794" s="1">
        <v>22</v>
      </c>
      <c r="B794" s="1" t="s">
        <v>7</v>
      </c>
      <c r="C794" s="1">
        <v>23.18</v>
      </c>
      <c r="D794" s="1">
        <v>0</v>
      </c>
      <c r="E794" s="1" t="s">
        <v>11</v>
      </c>
      <c r="F794" s="1" t="s">
        <v>14</v>
      </c>
      <c r="G794" s="1">
        <v>2731.9122000000002</v>
      </c>
      <c r="H794" t="str">
        <f t="shared" si="12"/>
        <v>18-29</v>
      </c>
    </row>
    <row r="795" spans="1:8" ht="15.75" customHeight="1">
      <c r="A795" s="1">
        <v>53</v>
      </c>
      <c r="B795" s="1" t="s">
        <v>10</v>
      </c>
      <c r="C795" s="1">
        <v>20.9</v>
      </c>
      <c r="D795" s="1">
        <v>0</v>
      </c>
      <c r="E795" s="1" t="s">
        <v>8</v>
      </c>
      <c r="F795" s="1" t="s">
        <v>12</v>
      </c>
      <c r="G795" s="1">
        <v>21195.817999999999</v>
      </c>
      <c r="H795" t="str">
        <f t="shared" si="12"/>
        <v>50-59</v>
      </c>
    </row>
    <row r="796" spans="1:8" ht="15.75" customHeight="1">
      <c r="A796" s="1">
        <v>39</v>
      </c>
      <c r="B796" s="1" t="s">
        <v>7</v>
      </c>
      <c r="C796" s="1">
        <v>31.92</v>
      </c>
      <c r="D796" s="1">
        <v>2</v>
      </c>
      <c r="E796" s="1" t="s">
        <v>11</v>
      </c>
      <c r="F796" s="1" t="s">
        <v>13</v>
      </c>
      <c r="G796" s="1">
        <v>7209.4917999999998</v>
      </c>
      <c r="H796" t="str">
        <f t="shared" si="12"/>
        <v>30-39</v>
      </c>
    </row>
    <row r="797" spans="1:8" ht="15.75" customHeight="1">
      <c r="A797" s="1">
        <v>27</v>
      </c>
      <c r="B797" s="1" t="s">
        <v>10</v>
      </c>
      <c r="C797" s="1">
        <v>28.5</v>
      </c>
      <c r="D797" s="1">
        <v>0</v>
      </c>
      <c r="E797" s="1" t="s">
        <v>8</v>
      </c>
      <c r="F797" s="1" t="s">
        <v>13</v>
      </c>
      <c r="G797" s="1">
        <v>18310.741999999998</v>
      </c>
      <c r="H797" t="str">
        <f t="shared" si="12"/>
        <v>18-29</v>
      </c>
    </row>
    <row r="798" spans="1:8" ht="15.75" customHeight="1">
      <c r="A798" s="1">
        <v>30</v>
      </c>
      <c r="B798" s="1" t="s">
        <v>10</v>
      </c>
      <c r="C798" s="1">
        <v>44.22</v>
      </c>
      <c r="D798" s="1">
        <v>2</v>
      </c>
      <c r="E798" s="1" t="s">
        <v>11</v>
      </c>
      <c r="F798" s="1" t="s">
        <v>12</v>
      </c>
      <c r="G798" s="1">
        <v>4266.1657999999998</v>
      </c>
      <c r="H798" t="str">
        <f t="shared" si="12"/>
        <v>30-39</v>
      </c>
    </row>
    <row r="799" spans="1:8" ht="15.75" customHeight="1">
      <c r="A799" s="1">
        <v>30</v>
      </c>
      <c r="B799" s="1" t="s">
        <v>7</v>
      </c>
      <c r="C799" s="1">
        <v>22.895</v>
      </c>
      <c r="D799" s="1">
        <v>1</v>
      </c>
      <c r="E799" s="1" t="s">
        <v>11</v>
      </c>
      <c r="F799" s="1" t="s">
        <v>14</v>
      </c>
      <c r="G799" s="1">
        <v>4719.52405</v>
      </c>
      <c r="H799" t="str">
        <f t="shared" si="12"/>
        <v>30-39</v>
      </c>
    </row>
    <row r="800" spans="1:8" ht="15.75" customHeight="1">
      <c r="A800" s="1">
        <v>58</v>
      </c>
      <c r="B800" s="1" t="s">
        <v>7</v>
      </c>
      <c r="C800" s="1">
        <v>33.1</v>
      </c>
      <c r="D800" s="1">
        <v>0</v>
      </c>
      <c r="E800" s="1" t="s">
        <v>11</v>
      </c>
      <c r="F800" s="1" t="s">
        <v>9</v>
      </c>
      <c r="G800" s="1">
        <v>11848.141</v>
      </c>
      <c r="H800" t="str">
        <f t="shared" si="12"/>
        <v>50-59</v>
      </c>
    </row>
    <row r="801" spans="1:8" ht="15.75" customHeight="1">
      <c r="A801" s="1">
        <v>33</v>
      </c>
      <c r="B801" s="1" t="s">
        <v>10</v>
      </c>
      <c r="C801" s="1">
        <v>24.795000000000002</v>
      </c>
      <c r="D801" s="1">
        <v>0</v>
      </c>
      <c r="E801" s="1" t="s">
        <v>8</v>
      </c>
      <c r="F801" s="1" t="s">
        <v>14</v>
      </c>
      <c r="G801" s="1">
        <v>17904.527050000001</v>
      </c>
      <c r="H801" t="str">
        <f t="shared" si="12"/>
        <v>30-39</v>
      </c>
    </row>
    <row r="802" spans="1:8" ht="15.75" customHeight="1">
      <c r="A802" s="1">
        <v>42</v>
      </c>
      <c r="B802" s="1" t="s">
        <v>7</v>
      </c>
      <c r="C802" s="1">
        <v>26.18</v>
      </c>
      <c r="D802" s="1">
        <v>1</v>
      </c>
      <c r="E802" s="1" t="s">
        <v>11</v>
      </c>
      <c r="F802" s="1" t="s">
        <v>12</v>
      </c>
      <c r="G802" s="1">
        <v>7046.7222000000002</v>
      </c>
      <c r="H802" t="str">
        <f t="shared" si="12"/>
        <v>40-49</v>
      </c>
    </row>
    <row r="803" spans="1:8" ht="15.75" customHeight="1">
      <c r="A803" s="1">
        <v>64</v>
      </c>
      <c r="B803" s="1" t="s">
        <v>7</v>
      </c>
      <c r="C803" s="1">
        <v>35.97</v>
      </c>
      <c r="D803" s="1">
        <v>0</v>
      </c>
      <c r="E803" s="1" t="s">
        <v>11</v>
      </c>
      <c r="F803" s="1" t="s">
        <v>12</v>
      </c>
      <c r="G803" s="1">
        <v>14313.846299999999</v>
      </c>
      <c r="H803" t="str">
        <f t="shared" si="12"/>
        <v>60+</v>
      </c>
    </row>
    <row r="804" spans="1:8" ht="15.75" customHeight="1">
      <c r="A804" s="1">
        <v>21</v>
      </c>
      <c r="B804" s="1" t="s">
        <v>10</v>
      </c>
      <c r="C804" s="1">
        <v>22.3</v>
      </c>
      <c r="D804" s="1">
        <v>1</v>
      </c>
      <c r="E804" s="1" t="s">
        <v>11</v>
      </c>
      <c r="F804" s="1" t="s">
        <v>9</v>
      </c>
      <c r="G804" s="1">
        <v>2103.08</v>
      </c>
      <c r="H804" t="str">
        <f t="shared" si="12"/>
        <v>18-29</v>
      </c>
    </row>
    <row r="805" spans="1:8" ht="15.75" customHeight="1">
      <c r="A805" s="1">
        <v>18</v>
      </c>
      <c r="B805" s="1" t="s">
        <v>7</v>
      </c>
      <c r="C805" s="1">
        <v>42.24</v>
      </c>
      <c r="D805" s="1">
        <v>0</v>
      </c>
      <c r="E805" s="1" t="s">
        <v>8</v>
      </c>
      <c r="F805" s="1" t="s">
        <v>12</v>
      </c>
      <c r="G805" s="1">
        <v>38792.685599999997</v>
      </c>
      <c r="H805" t="str">
        <f t="shared" si="12"/>
        <v>18-29</v>
      </c>
    </row>
    <row r="806" spans="1:8" ht="15.75" customHeight="1">
      <c r="A806" s="1">
        <v>23</v>
      </c>
      <c r="B806" s="1" t="s">
        <v>10</v>
      </c>
      <c r="C806" s="1">
        <v>26.51</v>
      </c>
      <c r="D806" s="1">
        <v>0</v>
      </c>
      <c r="E806" s="1" t="s">
        <v>11</v>
      </c>
      <c r="F806" s="1" t="s">
        <v>12</v>
      </c>
      <c r="G806" s="1">
        <v>1815.8759</v>
      </c>
      <c r="H806" t="str">
        <f t="shared" si="12"/>
        <v>18-29</v>
      </c>
    </row>
    <row r="807" spans="1:8" ht="15.75" customHeight="1">
      <c r="A807" s="1">
        <v>45</v>
      </c>
      <c r="B807" s="1" t="s">
        <v>7</v>
      </c>
      <c r="C807" s="1">
        <v>35.814999999999998</v>
      </c>
      <c r="D807" s="1">
        <v>0</v>
      </c>
      <c r="E807" s="1" t="s">
        <v>11</v>
      </c>
      <c r="F807" s="1" t="s">
        <v>13</v>
      </c>
      <c r="G807" s="1">
        <v>7731.8578500000003</v>
      </c>
      <c r="H807" t="str">
        <f t="shared" si="12"/>
        <v>40-49</v>
      </c>
    </row>
    <row r="808" spans="1:8" ht="15.75" customHeight="1">
      <c r="A808" s="1">
        <v>40</v>
      </c>
      <c r="B808" s="1" t="s">
        <v>7</v>
      </c>
      <c r="C808" s="1">
        <v>41.42</v>
      </c>
      <c r="D808" s="1">
        <v>1</v>
      </c>
      <c r="E808" s="1" t="s">
        <v>11</v>
      </c>
      <c r="F808" s="1" t="s">
        <v>13</v>
      </c>
      <c r="G808" s="1">
        <v>28476.734990000001</v>
      </c>
      <c r="H808" t="str">
        <f t="shared" si="12"/>
        <v>40-49</v>
      </c>
    </row>
    <row r="809" spans="1:8" ht="15.75" customHeight="1">
      <c r="A809" s="1">
        <v>19</v>
      </c>
      <c r="B809" s="1" t="s">
        <v>7</v>
      </c>
      <c r="C809" s="1">
        <v>36.575000000000003</v>
      </c>
      <c r="D809" s="1">
        <v>0</v>
      </c>
      <c r="E809" s="1" t="s">
        <v>11</v>
      </c>
      <c r="F809" s="1" t="s">
        <v>13</v>
      </c>
      <c r="G809" s="1">
        <v>2136.8822500000001</v>
      </c>
      <c r="H809" t="str">
        <f t="shared" si="12"/>
        <v>18-29</v>
      </c>
    </row>
    <row r="810" spans="1:8" ht="15.75" customHeight="1">
      <c r="A810" s="1">
        <v>18</v>
      </c>
      <c r="B810" s="1" t="s">
        <v>10</v>
      </c>
      <c r="C810" s="1">
        <v>30.14</v>
      </c>
      <c r="D810" s="1">
        <v>0</v>
      </c>
      <c r="E810" s="1" t="s">
        <v>11</v>
      </c>
      <c r="F810" s="1" t="s">
        <v>12</v>
      </c>
      <c r="G810" s="1">
        <v>1131.5065999999999</v>
      </c>
      <c r="H810" t="str">
        <f t="shared" si="12"/>
        <v>18-29</v>
      </c>
    </row>
    <row r="811" spans="1:8" ht="15.75" customHeight="1">
      <c r="A811" s="1">
        <v>25</v>
      </c>
      <c r="B811" s="1" t="s">
        <v>10</v>
      </c>
      <c r="C811" s="1">
        <v>25.84</v>
      </c>
      <c r="D811" s="1">
        <v>1</v>
      </c>
      <c r="E811" s="1" t="s">
        <v>11</v>
      </c>
      <c r="F811" s="1" t="s">
        <v>14</v>
      </c>
      <c r="G811" s="1">
        <v>3309.7926000000002</v>
      </c>
      <c r="H811" t="str">
        <f t="shared" si="12"/>
        <v>18-29</v>
      </c>
    </row>
    <row r="812" spans="1:8" ht="15.75" customHeight="1">
      <c r="A812" s="1">
        <v>46</v>
      </c>
      <c r="B812" s="1" t="s">
        <v>7</v>
      </c>
      <c r="C812" s="1">
        <v>30.8</v>
      </c>
      <c r="D812" s="1">
        <v>3</v>
      </c>
      <c r="E812" s="1" t="s">
        <v>11</v>
      </c>
      <c r="F812" s="1" t="s">
        <v>9</v>
      </c>
      <c r="G812" s="1">
        <v>9414.92</v>
      </c>
      <c r="H812" t="str">
        <f t="shared" si="12"/>
        <v>40-49</v>
      </c>
    </row>
    <row r="813" spans="1:8" ht="15.75" customHeight="1">
      <c r="A813" s="1">
        <v>33</v>
      </c>
      <c r="B813" s="1" t="s">
        <v>7</v>
      </c>
      <c r="C813" s="1">
        <v>42.94</v>
      </c>
      <c r="D813" s="1">
        <v>3</v>
      </c>
      <c r="E813" s="1" t="s">
        <v>11</v>
      </c>
      <c r="F813" s="1" t="s">
        <v>13</v>
      </c>
      <c r="G813" s="1">
        <v>6360.9935999999998</v>
      </c>
      <c r="H813" t="str">
        <f t="shared" si="12"/>
        <v>30-39</v>
      </c>
    </row>
    <row r="814" spans="1:8" ht="15.75" customHeight="1">
      <c r="A814" s="1">
        <v>54</v>
      </c>
      <c r="B814" s="1" t="s">
        <v>10</v>
      </c>
      <c r="C814" s="1">
        <v>21.01</v>
      </c>
      <c r="D814" s="1">
        <v>2</v>
      </c>
      <c r="E814" s="1" t="s">
        <v>11</v>
      </c>
      <c r="F814" s="1" t="s">
        <v>12</v>
      </c>
      <c r="G814" s="1">
        <v>11013.7119</v>
      </c>
      <c r="H814" t="str">
        <f t="shared" si="12"/>
        <v>50-59</v>
      </c>
    </row>
    <row r="815" spans="1:8" ht="15.75" customHeight="1">
      <c r="A815" s="1">
        <v>28</v>
      </c>
      <c r="B815" s="1" t="s">
        <v>10</v>
      </c>
      <c r="C815" s="1">
        <v>22.515000000000001</v>
      </c>
      <c r="D815" s="1">
        <v>2</v>
      </c>
      <c r="E815" s="1" t="s">
        <v>11</v>
      </c>
      <c r="F815" s="1" t="s">
        <v>14</v>
      </c>
      <c r="G815" s="1">
        <v>4428.8878500000001</v>
      </c>
      <c r="H815" t="str">
        <f t="shared" si="12"/>
        <v>18-29</v>
      </c>
    </row>
    <row r="816" spans="1:8" ht="15.75" customHeight="1">
      <c r="A816" s="1">
        <v>36</v>
      </c>
      <c r="B816" s="1" t="s">
        <v>10</v>
      </c>
      <c r="C816" s="1">
        <v>34.43</v>
      </c>
      <c r="D816" s="1">
        <v>2</v>
      </c>
      <c r="E816" s="1" t="s">
        <v>11</v>
      </c>
      <c r="F816" s="1" t="s">
        <v>12</v>
      </c>
      <c r="G816" s="1">
        <v>5584.3056999999999</v>
      </c>
      <c r="H816" t="str">
        <f t="shared" si="12"/>
        <v>30-39</v>
      </c>
    </row>
    <row r="817" spans="1:8" ht="15.75" customHeight="1">
      <c r="A817" s="1">
        <v>20</v>
      </c>
      <c r="B817" s="1" t="s">
        <v>7</v>
      </c>
      <c r="C817" s="1">
        <v>31.46</v>
      </c>
      <c r="D817" s="1">
        <v>0</v>
      </c>
      <c r="E817" s="1" t="s">
        <v>11</v>
      </c>
      <c r="F817" s="1" t="s">
        <v>12</v>
      </c>
      <c r="G817" s="1">
        <v>1877.9294</v>
      </c>
      <c r="H817" t="str">
        <f t="shared" si="12"/>
        <v>18-29</v>
      </c>
    </row>
    <row r="818" spans="1:8" ht="15.75" customHeight="1">
      <c r="A818" s="1">
        <v>24</v>
      </c>
      <c r="B818" s="1" t="s">
        <v>7</v>
      </c>
      <c r="C818" s="1">
        <v>24.225000000000001</v>
      </c>
      <c r="D818" s="1">
        <v>0</v>
      </c>
      <c r="E818" s="1" t="s">
        <v>11</v>
      </c>
      <c r="F818" s="1" t="s">
        <v>13</v>
      </c>
      <c r="G818" s="1">
        <v>2842.7607499999999</v>
      </c>
      <c r="H818" t="str">
        <f t="shared" si="12"/>
        <v>18-29</v>
      </c>
    </row>
    <row r="819" spans="1:8" ht="15.75" customHeight="1">
      <c r="A819" s="1">
        <v>23</v>
      </c>
      <c r="B819" s="1" t="s">
        <v>10</v>
      </c>
      <c r="C819" s="1">
        <v>37.1</v>
      </c>
      <c r="D819" s="1">
        <v>3</v>
      </c>
      <c r="E819" s="1" t="s">
        <v>11</v>
      </c>
      <c r="F819" s="1" t="s">
        <v>9</v>
      </c>
      <c r="G819" s="1">
        <v>3597.596</v>
      </c>
      <c r="H819" t="str">
        <f t="shared" si="12"/>
        <v>18-29</v>
      </c>
    </row>
    <row r="820" spans="1:8" ht="15.75" customHeight="1">
      <c r="A820" s="1">
        <v>47</v>
      </c>
      <c r="B820" s="1" t="s">
        <v>7</v>
      </c>
      <c r="C820" s="1">
        <v>26.125</v>
      </c>
      <c r="D820" s="1">
        <v>1</v>
      </c>
      <c r="E820" s="1" t="s">
        <v>8</v>
      </c>
      <c r="F820" s="1" t="s">
        <v>14</v>
      </c>
      <c r="G820" s="1">
        <v>23401.30575</v>
      </c>
      <c r="H820" t="str">
        <f t="shared" si="12"/>
        <v>40-49</v>
      </c>
    </row>
    <row r="821" spans="1:8" ht="15.75" customHeight="1">
      <c r="A821" s="1">
        <v>33</v>
      </c>
      <c r="B821" s="1" t="s">
        <v>7</v>
      </c>
      <c r="C821" s="1">
        <v>35.53</v>
      </c>
      <c r="D821" s="1">
        <v>0</v>
      </c>
      <c r="E821" s="1" t="s">
        <v>8</v>
      </c>
      <c r="F821" s="1" t="s">
        <v>13</v>
      </c>
      <c r="G821" s="1">
        <v>55135.402090000003</v>
      </c>
      <c r="H821" t="str">
        <f t="shared" si="12"/>
        <v>30-39</v>
      </c>
    </row>
    <row r="822" spans="1:8" ht="15.75" customHeight="1">
      <c r="A822" s="1">
        <v>45</v>
      </c>
      <c r="B822" s="1" t="s">
        <v>10</v>
      </c>
      <c r="C822" s="1">
        <v>33.700000000000003</v>
      </c>
      <c r="D822" s="1">
        <v>1</v>
      </c>
      <c r="E822" s="1" t="s">
        <v>11</v>
      </c>
      <c r="F822" s="1" t="s">
        <v>9</v>
      </c>
      <c r="G822" s="1">
        <v>7445.9179999999997</v>
      </c>
      <c r="H822" t="str">
        <f t="shared" si="12"/>
        <v>40-49</v>
      </c>
    </row>
    <row r="823" spans="1:8" ht="15.75" customHeight="1">
      <c r="A823" s="1">
        <v>26</v>
      </c>
      <c r="B823" s="1" t="s">
        <v>10</v>
      </c>
      <c r="C823" s="1">
        <v>17.670000000000002</v>
      </c>
      <c r="D823" s="1">
        <v>0</v>
      </c>
      <c r="E823" s="1" t="s">
        <v>11</v>
      </c>
      <c r="F823" s="1" t="s">
        <v>13</v>
      </c>
      <c r="G823" s="1">
        <v>2680.9493000000002</v>
      </c>
      <c r="H823" t="str">
        <f t="shared" si="12"/>
        <v>18-29</v>
      </c>
    </row>
    <row r="824" spans="1:8" ht="15.75" customHeight="1">
      <c r="A824" s="1">
        <v>18</v>
      </c>
      <c r="B824" s="1" t="s">
        <v>7</v>
      </c>
      <c r="C824" s="1">
        <v>31.13</v>
      </c>
      <c r="D824" s="1">
        <v>0</v>
      </c>
      <c r="E824" s="1" t="s">
        <v>11</v>
      </c>
      <c r="F824" s="1" t="s">
        <v>12</v>
      </c>
      <c r="G824" s="1">
        <v>1621.8827000000001</v>
      </c>
      <c r="H824" t="str">
        <f t="shared" si="12"/>
        <v>18-29</v>
      </c>
    </row>
    <row r="825" spans="1:8" ht="15.75" customHeight="1">
      <c r="A825" s="1">
        <v>44</v>
      </c>
      <c r="B825" s="1" t="s">
        <v>7</v>
      </c>
      <c r="C825" s="1">
        <v>29.81</v>
      </c>
      <c r="D825" s="1">
        <v>2</v>
      </c>
      <c r="E825" s="1" t="s">
        <v>11</v>
      </c>
      <c r="F825" s="1" t="s">
        <v>12</v>
      </c>
      <c r="G825" s="1">
        <v>8219.2039000000004</v>
      </c>
      <c r="H825" t="str">
        <f t="shared" si="12"/>
        <v>40-49</v>
      </c>
    </row>
    <row r="826" spans="1:8" ht="15.75" customHeight="1">
      <c r="A826" s="1">
        <v>60</v>
      </c>
      <c r="B826" s="1" t="s">
        <v>10</v>
      </c>
      <c r="C826" s="1">
        <v>24.32</v>
      </c>
      <c r="D826" s="1">
        <v>0</v>
      </c>
      <c r="E826" s="1" t="s">
        <v>11</v>
      </c>
      <c r="F826" s="1" t="s">
        <v>13</v>
      </c>
      <c r="G826" s="1">
        <v>12523.604799999999</v>
      </c>
      <c r="H826" t="str">
        <f t="shared" si="12"/>
        <v>60+</v>
      </c>
    </row>
    <row r="827" spans="1:8" ht="15.75" customHeight="1">
      <c r="A827" s="1">
        <v>64</v>
      </c>
      <c r="B827" s="1" t="s">
        <v>7</v>
      </c>
      <c r="C827" s="1">
        <v>31.824999999999999</v>
      </c>
      <c r="D827" s="1">
        <v>2</v>
      </c>
      <c r="E827" s="1" t="s">
        <v>11</v>
      </c>
      <c r="F827" s="1" t="s">
        <v>14</v>
      </c>
      <c r="G827" s="1">
        <v>16069.08475</v>
      </c>
      <c r="H827" t="str">
        <f t="shared" si="12"/>
        <v>60+</v>
      </c>
    </row>
    <row r="828" spans="1:8" ht="15.75" customHeight="1">
      <c r="A828" s="1">
        <v>56</v>
      </c>
      <c r="B828" s="1" t="s">
        <v>10</v>
      </c>
      <c r="C828" s="1">
        <v>31.79</v>
      </c>
      <c r="D828" s="1">
        <v>2</v>
      </c>
      <c r="E828" s="1" t="s">
        <v>8</v>
      </c>
      <c r="F828" s="1" t="s">
        <v>12</v>
      </c>
      <c r="G828" s="1">
        <v>43813.866099999999</v>
      </c>
      <c r="H828" t="str">
        <f t="shared" si="12"/>
        <v>50-59</v>
      </c>
    </row>
    <row r="829" spans="1:8" ht="15.75" customHeight="1">
      <c r="A829" s="1">
        <v>36</v>
      </c>
      <c r="B829" s="1" t="s">
        <v>10</v>
      </c>
      <c r="C829" s="1">
        <v>28.024999999999999</v>
      </c>
      <c r="D829" s="1">
        <v>1</v>
      </c>
      <c r="E829" s="1" t="s">
        <v>8</v>
      </c>
      <c r="F829" s="1" t="s">
        <v>14</v>
      </c>
      <c r="G829" s="1">
        <v>20773.62775</v>
      </c>
      <c r="H829" t="str">
        <f t="shared" si="12"/>
        <v>30-39</v>
      </c>
    </row>
    <row r="830" spans="1:8" ht="15.75" customHeight="1">
      <c r="A830" s="1">
        <v>41</v>
      </c>
      <c r="B830" s="1" t="s">
        <v>10</v>
      </c>
      <c r="C830" s="1">
        <v>30.78</v>
      </c>
      <c r="D830" s="1">
        <v>3</v>
      </c>
      <c r="E830" s="1" t="s">
        <v>8</v>
      </c>
      <c r="F830" s="1" t="s">
        <v>14</v>
      </c>
      <c r="G830" s="1">
        <v>39597.407200000001</v>
      </c>
      <c r="H830" t="str">
        <f t="shared" si="12"/>
        <v>40-49</v>
      </c>
    </row>
    <row r="831" spans="1:8" ht="15.75" customHeight="1">
      <c r="A831" s="1">
        <v>39</v>
      </c>
      <c r="B831" s="1" t="s">
        <v>10</v>
      </c>
      <c r="C831" s="1">
        <v>21.85</v>
      </c>
      <c r="D831" s="1">
        <v>1</v>
      </c>
      <c r="E831" s="1" t="s">
        <v>11</v>
      </c>
      <c r="F831" s="1" t="s">
        <v>13</v>
      </c>
      <c r="G831" s="1">
        <v>6117.4944999999998</v>
      </c>
      <c r="H831" t="str">
        <f t="shared" si="12"/>
        <v>30-39</v>
      </c>
    </row>
    <row r="832" spans="1:8" ht="15.75" customHeight="1">
      <c r="A832" s="1">
        <v>63</v>
      </c>
      <c r="B832" s="1" t="s">
        <v>10</v>
      </c>
      <c r="C832" s="1">
        <v>33.1</v>
      </c>
      <c r="D832" s="1">
        <v>0</v>
      </c>
      <c r="E832" s="1" t="s">
        <v>11</v>
      </c>
      <c r="F832" s="1" t="s">
        <v>9</v>
      </c>
      <c r="G832" s="1">
        <v>13393.755999999999</v>
      </c>
      <c r="H832" t="str">
        <f t="shared" si="12"/>
        <v>60+</v>
      </c>
    </row>
    <row r="833" spans="1:8" ht="15.75" customHeight="1">
      <c r="A833" s="1">
        <v>36</v>
      </c>
      <c r="B833" s="1" t="s">
        <v>7</v>
      </c>
      <c r="C833" s="1">
        <v>25.84</v>
      </c>
      <c r="D833" s="1">
        <v>0</v>
      </c>
      <c r="E833" s="1" t="s">
        <v>11</v>
      </c>
      <c r="F833" s="1" t="s">
        <v>13</v>
      </c>
      <c r="G833" s="1">
        <v>5266.3656000000001</v>
      </c>
      <c r="H833" t="str">
        <f t="shared" si="12"/>
        <v>30-39</v>
      </c>
    </row>
    <row r="834" spans="1:8" ht="15.75" customHeight="1">
      <c r="A834" s="1">
        <v>28</v>
      </c>
      <c r="B834" s="1" t="s">
        <v>7</v>
      </c>
      <c r="C834" s="1">
        <v>23.844999999999999</v>
      </c>
      <c r="D834" s="1">
        <v>2</v>
      </c>
      <c r="E834" s="1" t="s">
        <v>11</v>
      </c>
      <c r="F834" s="1" t="s">
        <v>13</v>
      </c>
      <c r="G834" s="1">
        <v>4719.7365499999996</v>
      </c>
      <c r="H834" t="str">
        <f t="shared" si="12"/>
        <v>18-29</v>
      </c>
    </row>
    <row r="835" spans="1:8" ht="15.75" customHeight="1">
      <c r="A835" s="1">
        <v>58</v>
      </c>
      <c r="B835" s="1" t="s">
        <v>10</v>
      </c>
      <c r="C835" s="1">
        <v>34.39</v>
      </c>
      <c r="D835" s="1">
        <v>0</v>
      </c>
      <c r="E835" s="1" t="s">
        <v>11</v>
      </c>
      <c r="F835" s="1" t="s">
        <v>13</v>
      </c>
      <c r="G835" s="1">
        <v>11743.9341</v>
      </c>
      <c r="H835" t="str">
        <f t="shared" ref="H835:H898" si="13">IF(A835&lt;30,"18-29",IF(A835&lt;40,"30-39",IF(A835&lt;50,"40-49",IF(A835&lt;60,"50-59","60+"))))</f>
        <v>50-59</v>
      </c>
    </row>
    <row r="836" spans="1:8" ht="15.75" customHeight="1">
      <c r="A836" s="1">
        <v>36</v>
      </c>
      <c r="B836" s="1" t="s">
        <v>10</v>
      </c>
      <c r="C836" s="1">
        <v>33.82</v>
      </c>
      <c r="D836" s="1">
        <v>1</v>
      </c>
      <c r="E836" s="1" t="s">
        <v>11</v>
      </c>
      <c r="F836" s="1" t="s">
        <v>13</v>
      </c>
      <c r="G836" s="1">
        <v>5377.4578000000001</v>
      </c>
      <c r="H836" t="str">
        <f t="shared" si="13"/>
        <v>30-39</v>
      </c>
    </row>
    <row r="837" spans="1:8" ht="15.75" customHeight="1">
      <c r="A837" s="1">
        <v>42</v>
      </c>
      <c r="B837" s="1" t="s">
        <v>10</v>
      </c>
      <c r="C837" s="1">
        <v>35.97</v>
      </c>
      <c r="D837" s="1">
        <v>2</v>
      </c>
      <c r="E837" s="1" t="s">
        <v>11</v>
      </c>
      <c r="F837" s="1" t="s">
        <v>12</v>
      </c>
      <c r="G837" s="1">
        <v>7160.3302999999996</v>
      </c>
      <c r="H837" t="str">
        <f t="shared" si="13"/>
        <v>40-49</v>
      </c>
    </row>
    <row r="838" spans="1:8" ht="15.75" customHeight="1">
      <c r="A838" s="1">
        <v>36</v>
      </c>
      <c r="B838" s="1" t="s">
        <v>10</v>
      </c>
      <c r="C838" s="1">
        <v>31.5</v>
      </c>
      <c r="D838" s="1">
        <v>0</v>
      </c>
      <c r="E838" s="1" t="s">
        <v>11</v>
      </c>
      <c r="F838" s="1" t="s">
        <v>9</v>
      </c>
      <c r="G838" s="1">
        <v>4402.2330000000002</v>
      </c>
      <c r="H838" t="str">
        <f t="shared" si="13"/>
        <v>30-39</v>
      </c>
    </row>
    <row r="839" spans="1:8" ht="15.75" customHeight="1">
      <c r="A839" s="1">
        <v>56</v>
      </c>
      <c r="B839" s="1" t="s">
        <v>7</v>
      </c>
      <c r="C839" s="1">
        <v>28.31</v>
      </c>
      <c r="D839" s="1">
        <v>0</v>
      </c>
      <c r="E839" s="1" t="s">
        <v>11</v>
      </c>
      <c r="F839" s="1" t="s">
        <v>14</v>
      </c>
      <c r="G839" s="1">
        <v>11657.7189</v>
      </c>
      <c r="H839" t="str">
        <f t="shared" si="13"/>
        <v>50-59</v>
      </c>
    </row>
    <row r="840" spans="1:8" ht="15.75" customHeight="1">
      <c r="A840" s="1">
        <v>35</v>
      </c>
      <c r="B840" s="1" t="s">
        <v>7</v>
      </c>
      <c r="C840" s="1">
        <v>23.465</v>
      </c>
      <c r="D840" s="1">
        <v>2</v>
      </c>
      <c r="E840" s="1" t="s">
        <v>11</v>
      </c>
      <c r="F840" s="1" t="s">
        <v>14</v>
      </c>
      <c r="G840" s="1">
        <v>6402.2913500000004</v>
      </c>
      <c r="H840" t="str">
        <f t="shared" si="13"/>
        <v>30-39</v>
      </c>
    </row>
    <row r="841" spans="1:8" ht="15.75" customHeight="1">
      <c r="A841" s="1">
        <v>59</v>
      </c>
      <c r="B841" s="1" t="s">
        <v>7</v>
      </c>
      <c r="C841" s="1">
        <v>31.35</v>
      </c>
      <c r="D841" s="1">
        <v>0</v>
      </c>
      <c r="E841" s="1" t="s">
        <v>11</v>
      </c>
      <c r="F841" s="1" t="s">
        <v>13</v>
      </c>
      <c r="G841" s="1">
        <v>12622.1795</v>
      </c>
      <c r="H841" t="str">
        <f t="shared" si="13"/>
        <v>50-59</v>
      </c>
    </row>
    <row r="842" spans="1:8" ht="15.75" customHeight="1">
      <c r="A842" s="1">
        <v>21</v>
      </c>
      <c r="B842" s="1" t="s">
        <v>10</v>
      </c>
      <c r="C842" s="1">
        <v>31.1</v>
      </c>
      <c r="D842" s="1">
        <v>0</v>
      </c>
      <c r="E842" s="1" t="s">
        <v>11</v>
      </c>
      <c r="F842" s="1" t="s">
        <v>9</v>
      </c>
      <c r="G842" s="1">
        <v>1526.3119999999999</v>
      </c>
      <c r="H842" t="str">
        <f t="shared" si="13"/>
        <v>18-29</v>
      </c>
    </row>
    <row r="843" spans="1:8" ht="15.75" customHeight="1">
      <c r="A843" s="1">
        <v>59</v>
      </c>
      <c r="B843" s="1" t="s">
        <v>10</v>
      </c>
      <c r="C843" s="1">
        <v>24.7</v>
      </c>
      <c r="D843" s="1">
        <v>0</v>
      </c>
      <c r="E843" s="1" t="s">
        <v>11</v>
      </c>
      <c r="F843" s="1" t="s">
        <v>14</v>
      </c>
      <c r="G843" s="1">
        <v>12323.936</v>
      </c>
      <c r="H843" t="str">
        <f t="shared" si="13"/>
        <v>50-59</v>
      </c>
    </row>
    <row r="844" spans="1:8" ht="15.75" customHeight="1">
      <c r="A844" s="1">
        <v>23</v>
      </c>
      <c r="B844" s="1" t="s">
        <v>7</v>
      </c>
      <c r="C844" s="1">
        <v>32.78</v>
      </c>
      <c r="D844" s="1">
        <v>2</v>
      </c>
      <c r="E844" s="1" t="s">
        <v>8</v>
      </c>
      <c r="F844" s="1" t="s">
        <v>12</v>
      </c>
      <c r="G844" s="1">
        <v>36021.011200000001</v>
      </c>
      <c r="H844" t="str">
        <f t="shared" si="13"/>
        <v>18-29</v>
      </c>
    </row>
    <row r="845" spans="1:8" ht="15.75" customHeight="1">
      <c r="A845" s="1">
        <v>57</v>
      </c>
      <c r="B845" s="1" t="s">
        <v>7</v>
      </c>
      <c r="C845" s="1">
        <v>29.81</v>
      </c>
      <c r="D845" s="1">
        <v>0</v>
      </c>
      <c r="E845" s="1" t="s">
        <v>8</v>
      </c>
      <c r="F845" s="1" t="s">
        <v>12</v>
      </c>
      <c r="G845" s="1">
        <v>27533.912899999999</v>
      </c>
      <c r="H845" t="str">
        <f t="shared" si="13"/>
        <v>50-59</v>
      </c>
    </row>
    <row r="846" spans="1:8" ht="15.75" customHeight="1">
      <c r="A846" s="1">
        <v>53</v>
      </c>
      <c r="B846" s="1" t="s">
        <v>10</v>
      </c>
      <c r="C846" s="1">
        <v>30.495000000000001</v>
      </c>
      <c r="D846" s="1">
        <v>0</v>
      </c>
      <c r="E846" s="1" t="s">
        <v>11</v>
      </c>
      <c r="F846" s="1" t="s">
        <v>14</v>
      </c>
      <c r="G846" s="1">
        <v>10072.055050000001</v>
      </c>
      <c r="H846" t="str">
        <f t="shared" si="13"/>
        <v>50-59</v>
      </c>
    </row>
    <row r="847" spans="1:8" ht="15.75" customHeight="1">
      <c r="A847" s="1">
        <v>60</v>
      </c>
      <c r="B847" s="1" t="s">
        <v>7</v>
      </c>
      <c r="C847" s="1">
        <v>32.450000000000003</v>
      </c>
      <c r="D847" s="1">
        <v>0</v>
      </c>
      <c r="E847" s="1" t="s">
        <v>8</v>
      </c>
      <c r="F847" s="1" t="s">
        <v>12</v>
      </c>
      <c r="G847" s="1">
        <v>45008.955499999996</v>
      </c>
      <c r="H847" t="str">
        <f t="shared" si="13"/>
        <v>60+</v>
      </c>
    </row>
    <row r="848" spans="1:8" ht="15.75" customHeight="1">
      <c r="A848" s="1">
        <v>51</v>
      </c>
      <c r="B848" s="1" t="s">
        <v>7</v>
      </c>
      <c r="C848" s="1">
        <v>34.200000000000003</v>
      </c>
      <c r="D848" s="1">
        <v>1</v>
      </c>
      <c r="E848" s="1" t="s">
        <v>11</v>
      </c>
      <c r="F848" s="1" t="s">
        <v>9</v>
      </c>
      <c r="G848" s="1">
        <v>9872.7009999999991</v>
      </c>
      <c r="H848" t="str">
        <f t="shared" si="13"/>
        <v>50-59</v>
      </c>
    </row>
    <row r="849" spans="1:8" ht="15.75" customHeight="1">
      <c r="A849" s="1">
        <v>23</v>
      </c>
      <c r="B849" s="1" t="s">
        <v>10</v>
      </c>
      <c r="C849" s="1">
        <v>50.38</v>
      </c>
      <c r="D849" s="1">
        <v>1</v>
      </c>
      <c r="E849" s="1" t="s">
        <v>11</v>
      </c>
      <c r="F849" s="1" t="s">
        <v>12</v>
      </c>
      <c r="G849" s="1">
        <v>2438.0551999999998</v>
      </c>
      <c r="H849" t="str">
        <f t="shared" si="13"/>
        <v>18-29</v>
      </c>
    </row>
    <row r="850" spans="1:8" ht="15.75" customHeight="1">
      <c r="A850" s="1">
        <v>27</v>
      </c>
      <c r="B850" s="1" t="s">
        <v>7</v>
      </c>
      <c r="C850" s="1">
        <v>24.1</v>
      </c>
      <c r="D850" s="1">
        <v>0</v>
      </c>
      <c r="E850" s="1" t="s">
        <v>11</v>
      </c>
      <c r="F850" s="1" t="s">
        <v>9</v>
      </c>
      <c r="G850" s="1">
        <v>2974.1260000000002</v>
      </c>
      <c r="H850" t="str">
        <f t="shared" si="13"/>
        <v>18-29</v>
      </c>
    </row>
    <row r="851" spans="1:8" ht="15.75" customHeight="1">
      <c r="A851" s="1">
        <v>55</v>
      </c>
      <c r="B851" s="1" t="s">
        <v>10</v>
      </c>
      <c r="C851" s="1">
        <v>32.774999999999999</v>
      </c>
      <c r="D851" s="1">
        <v>0</v>
      </c>
      <c r="E851" s="1" t="s">
        <v>11</v>
      </c>
      <c r="F851" s="1" t="s">
        <v>13</v>
      </c>
      <c r="G851" s="1">
        <v>10601.632250000001</v>
      </c>
      <c r="H851" t="str">
        <f t="shared" si="13"/>
        <v>50-59</v>
      </c>
    </row>
    <row r="852" spans="1:8" ht="15.75" customHeight="1">
      <c r="A852" s="1">
        <v>37</v>
      </c>
      <c r="B852" s="1" t="s">
        <v>7</v>
      </c>
      <c r="C852" s="1">
        <v>30.78</v>
      </c>
      <c r="D852" s="1">
        <v>0</v>
      </c>
      <c r="E852" s="1" t="s">
        <v>8</v>
      </c>
      <c r="F852" s="1" t="s">
        <v>14</v>
      </c>
      <c r="G852" s="1">
        <v>37270.1512</v>
      </c>
      <c r="H852" t="str">
        <f t="shared" si="13"/>
        <v>30-39</v>
      </c>
    </row>
    <row r="853" spans="1:8" ht="15.75" customHeight="1">
      <c r="A853" s="1">
        <v>61</v>
      </c>
      <c r="B853" s="1" t="s">
        <v>10</v>
      </c>
      <c r="C853" s="1">
        <v>32.299999999999997</v>
      </c>
      <c r="D853" s="1">
        <v>2</v>
      </c>
      <c r="E853" s="1" t="s">
        <v>11</v>
      </c>
      <c r="F853" s="1" t="s">
        <v>13</v>
      </c>
      <c r="G853" s="1">
        <v>14119.62</v>
      </c>
      <c r="H853" t="str">
        <f t="shared" si="13"/>
        <v>60+</v>
      </c>
    </row>
    <row r="854" spans="1:8" ht="15.75" customHeight="1">
      <c r="A854" s="1">
        <v>46</v>
      </c>
      <c r="B854" s="1" t="s">
        <v>7</v>
      </c>
      <c r="C854" s="1">
        <v>35.53</v>
      </c>
      <c r="D854" s="1">
        <v>0</v>
      </c>
      <c r="E854" s="1" t="s">
        <v>8</v>
      </c>
      <c r="F854" s="1" t="s">
        <v>14</v>
      </c>
      <c r="G854" s="1">
        <v>42111.664700000001</v>
      </c>
      <c r="H854" t="str">
        <f t="shared" si="13"/>
        <v>40-49</v>
      </c>
    </row>
    <row r="855" spans="1:8" ht="15.75" customHeight="1">
      <c r="A855" s="1">
        <v>53</v>
      </c>
      <c r="B855" s="1" t="s">
        <v>7</v>
      </c>
      <c r="C855" s="1">
        <v>23.75</v>
      </c>
      <c r="D855" s="1">
        <v>2</v>
      </c>
      <c r="E855" s="1" t="s">
        <v>11</v>
      </c>
      <c r="F855" s="1" t="s">
        <v>14</v>
      </c>
      <c r="G855" s="1">
        <v>11729.6795</v>
      </c>
      <c r="H855" t="str">
        <f t="shared" si="13"/>
        <v>50-59</v>
      </c>
    </row>
    <row r="856" spans="1:8" ht="15.75" customHeight="1">
      <c r="A856" s="1">
        <v>49</v>
      </c>
      <c r="B856" s="1" t="s">
        <v>7</v>
      </c>
      <c r="C856" s="1">
        <v>23.844999999999999</v>
      </c>
      <c r="D856" s="1">
        <v>3</v>
      </c>
      <c r="E856" s="1" t="s">
        <v>8</v>
      </c>
      <c r="F856" s="1" t="s">
        <v>14</v>
      </c>
      <c r="G856" s="1">
        <v>24106.912550000001</v>
      </c>
      <c r="H856" t="str">
        <f t="shared" si="13"/>
        <v>40-49</v>
      </c>
    </row>
    <row r="857" spans="1:8" ht="15.75" customHeight="1">
      <c r="A857" s="1">
        <v>20</v>
      </c>
      <c r="B857" s="1" t="s">
        <v>7</v>
      </c>
      <c r="C857" s="1">
        <v>29.6</v>
      </c>
      <c r="D857" s="1">
        <v>0</v>
      </c>
      <c r="E857" s="1" t="s">
        <v>11</v>
      </c>
      <c r="F857" s="1" t="s">
        <v>9</v>
      </c>
      <c r="G857" s="1">
        <v>1875.3440000000001</v>
      </c>
      <c r="H857" t="str">
        <f t="shared" si="13"/>
        <v>18-29</v>
      </c>
    </row>
    <row r="858" spans="1:8" ht="15.75" customHeight="1">
      <c r="A858" s="1">
        <v>48</v>
      </c>
      <c r="B858" s="1" t="s">
        <v>7</v>
      </c>
      <c r="C858" s="1">
        <v>33.11</v>
      </c>
      <c r="D858" s="1">
        <v>0</v>
      </c>
      <c r="E858" s="1" t="s">
        <v>8</v>
      </c>
      <c r="F858" s="1" t="s">
        <v>12</v>
      </c>
      <c r="G858" s="1">
        <v>40974.164900000003</v>
      </c>
      <c r="H858" t="str">
        <f t="shared" si="13"/>
        <v>40-49</v>
      </c>
    </row>
    <row r="859" spans="1:8" ht="15.75" customHeight="1">
      <c r="A859" s="1">
        <v>25</v>
      </c>
      <c r="B859" s="1" t="s">
        <v>10</v>
      </c>
      <c r="C859" s="1">
        <v>24.13</v>
      </c>
      <c r="D859" s="1">
        <v>0</v>
      </c>
      <c r="E859" s="1" t="s">
        <v>8</v>
      </c>
      <c r="F859" s="1" t="s">
        <v>13</v>
      </c>
      <c r="G859" s="1">
        <v>15817.985699999999</v>
      </c>
      <c r="H859" t="str">
        <f t="shared" si="13"/>
        <v>18-29</v>
      </c>
    </row>
    <row r="860" spans="1:8" ht="15.75" customHeight="1">
      <c r="A860" s="1">
        <v>25</v>
      </c>
      <c r="B860" s="1" t="s">
        <v>7</v>
      </c>
      <c r="C860" s="1">
        <v>32.229999999999997</v>
      </c>
      <c r="D860" s="1">
        <v>1</v>
      </c>
      <c r="E860" s="1" t="s">
        <v>11</v>
      </c>
      <c r="F860" s="1" t="s">
        <v>12</v>
      </c>
      <c r="G860" s="1">
        <v>18218.161390000001</v>
      </c>
      <c r="H860" t="str">
        <f t="shared" si="13"/>
        <v>18-29</v>
      </c>
    </row>
    <row r="861" spans="1:8" ht="15.75" customHeight="1">
      <c r="A861" s="1">
        <v>57</v>
      </c>
      <c r="B861" s="1" t="s">
        <v>10</v>
      </c>
      <c r="C861" s="1">
        <v>28.1</v>
      </c>
      <c r="D861" s="1">
        <v>0</v>
      </c>
      <c r="E861" s="1" t="s">
        <v>11</v>
      </c>
      <c r="F861" s="1" t="s">
        <v>9</v>
      </c>
      <c r="G861" s="1">
        <v>10965.446</v>
      </c>
      <c r="H861" t="str">
        <f t="shared" si="13"/>
        <v>50-59</v>
      </c>
    </row>
    <row r="862" spans="1:8" ht="15.75" customHeight="1">
      <c r="A862" s="1">
        <v>37</v>
      </c>
      <c r="B862" s="1" t="s">
        <v>7</v>
      </c>
      <c r="C862" s="1">
        <v>47.6</v>
      </c>
      <c r="D862" s="1">
        <v>2</v>
      </c>
      <c r="E862" s="1" t="s">
        <v>8</v>
      </c>
      <c r="F862" s="1" t="s">
        <v>9</v>
      </c>
      <c r="G862" s="1">
        <v>46113.510999999999</v>
      </c>
      <c r="H862" t="str">
        <f t="shared" si="13"/>
        <v>30-39</v>
      </c>
    </row>
    <row r="863" spans="1:8" ht="15.75" customHeight="1">
      <c r="A863" s="1">
        <v>38</v>
      </c>
      <c r="B863" s="1" t="s">
        <v>7</v>
      </c>
      <c r="C863" s="1">
        <v>28</v>
      </c>
      <c r="D863" s="1">
        <v>3</v>
      </c>
      <c r="E863" s="1" t="s">
        <v>11</v>
      </c>
      <c r="F863" s="1" t="s">
        <v>9</v>
      </c>
      <c r="G863" s="1">
        <v>7151.0919999999996</v>
      </c>
      <c r="H863" t="str">
        <f t="shared" si="13"/>
        <v>30-39</v>
      </c>
    </row>
    <row r="864" spans="1:8" ht="15.75" customHeight="1">
      <c r="A864" s="1">
        <v>55</v>
      </c>
      <c r="B864" s="1" t="s">
        <v>7</v>
      </c>
      <c r="C864" s="1">
        <v>33.534999999999997</v>
      </c>
      <c r="D864" s="1">
        <v>2</v>
      </c>
      <c r="E864" s="1" t="s">
        <v>11</v>
      </c>
      <c r="F864" s="1" t="s">
        <v>13</v>
      </c>
      <c r="G864" s="1">
        <v>12269.68865</v>
      </c>
      <c r="H864" t="str">
        <f t="shared" si="13"/>
        <v>50-59</v>
      </c>
    </row>
    <row r="865" spans="1:8" ht="15.75" customHeight="1">
      <c r="A865" s="1">
        <v>36</v>
      </c>
      <c r="B865" s="1" t="s">
        <v>7</v>
      </c>
      <c r="C865" s="1">
        <v>19.855</v>
      </c>
      <c r="D865" s="1">
        <v>0</v>
      </c>
      <c r="E865" s="1" t="s">
        <v>11</v>
      </c>
      <c r="F865" s="1" t="s">
        <v>14</v>
      </c>
      <c r="G865" s="1">
        <v>5458.0464499999998</v>
      </c>
      <c r="H865" t="str">
        <f t="shared" si="13"/>
        <v>30-39</v>
      </c>
    </row>
    <row r="866" spans="1:8" ht="15.75" customHeight="1">
      <c r="A866" s="1">
        <v>51</v>
      </c>
      <c r="B866" s="1" t="s">
        <v>10</v>
      </c>
      <c r="C866" s="1">
        <v>25.4</v>
      </c>
      <c r="D866" s="1">
        <v>0</v>
      </c>
      <c r="E866" s="1" t="s">
        <v>11</v>
      </c>
      <c r="F866" s="1" t="s">
        <v>9</v>
      </c>
      <c r="G866" s="1">
        <v>8782.4689999999991</v>
      </c>
      <c r="H866" t="str">
        <f t="shared" si="13"/>
        <v>50-59</v>
      </c>
    </row>
    <row r="867" spans="1:8" ht="15.75" customHeight="1">
      <c r="A867" s="1">
        <v>40</v>
      </c>
      <c r="B867" s="1" t="s">
        <v>10</v>
      </c>
      <c r="C867" s="1">
        <v>29.9</v>
      </c>
      <c r="D867" s="1">
        <v>2</v>
      </c>
      <c r="E867" s="1" t="s">
        <v>11</v>
      </c>
      <c r="F867" s="1" t="s">
        <v>9</v>
      </c>
      <c r="G867" s="1">
        <v>6600.3609999999999</v>
      </c>
      <c r="H867" t="str">
        <f t="shared" si="13"/>
        <v>40-49</v>
      </c>
    </row>
    <row r="868" spans="1:8" ht="15.75" customHeight="1">
      <c r="A868" s="1">
        <v>18</v>
      </c>
      <c r="B868" s="1" t="s">
        <v>10</v>
      </c>
      <c r="C868" s="1">
        <v>37.29</v>
      </c>
      <c r="D868" s="1">
        <v>0</v>
      </c>
      <c r="E868" s="1" t="s">
        <v>11</v>
      </c>
      <c r="F868" s="1" t="s">
        <v>12</v>
      </c>
      <c r="G868" s="1">
        <v>1141.4450999999999</v>
      </c>
      <c r="H868" t="str">
        <f t="shared" si="13"/>
        <v>18-29</v>
      </c>
    </row>
    <row r="869" spans="1:8" ht="15.75" customHeight="1">
      <c r="A869" s="1">
        <v>57</v>
      </c>
      <c r="B869" s="1" t="s">
        <v>10</v>
      </c>
      <c r="C869" s="1">
        <v>43.7</v>
      </c>
      <c r="D869" s="1">
        <v>1</v>
      </c>
      <c r="E869" s="1" t="s">
        <v>11</v>
      </c>
      <c r="F869" s="1" t="s">
        <v>9</v>
      </c>
      <c r="G869" s="1">
        <v>11576.13</v>
      </c>
      <c r="H869" t="str">
        <f t="shared" si="13"/>
        <v>50-59</v>
      </c>
    </row>
    <row r="870" spans="1:8" ht="15.75" customHeight="1">
      <c r="A870" s="1">
        <v>61</v>
      </c>
      <c r="B870" s="1" t="s">
        <v>10</v>
      </c>
      <c r="C870" s="1">
        <v>23.655000000000001</v>
      </c>
      <c r="D870" s="1">
        <v>0</v>
      </c>
      <c r="E870" s="1" t="s">
        <v>11</v>
      </c>
      <c r="F870" s="1" t="s">
        <v>14</v>
      </c>
      <c r="G870" s="1">
        <v>13129.603450000001</v>
      </c>
      <c r="H870" t="str">
        <f t="shared" si="13"/>
        <v>60+</v>
      </c>
    </row>
    <row r="871" spans="1:8" ht="15.75" customHeight="1">
      <c r="A871" s="1">
        <v>25</v>
      </c>
      <c r="B871" s="1" t="s">
        <v>7</v>
      </c>
      <c r="C871" s="1">
        <v>24.3</v>
      </c>
      <c r="D871" s="1">
        <v>3</v>
      </c>
      <c r="E871" s="1" t="s">
        <v>11</v>
      </c>
      <c r="F871" s="1" t="s">
        <v>9</v>
      </c>
      <c r="G871" s="1">
        <v>4391.652</v>
      </c>
      <c r="H871" t="str">
        <f t="shared" si="13"/>
        <v>18-29</v>
      </c>
    </row>
    <row r="872" spans="1:8" ht="15.75" customHeight="1">
      <c r="A872" s="1">
        <v>50</v>
      </c>
      <c r="B872" s="1" t="s">
        <v>10</v>
      </c>
      <c r="C872" s="1">
        <v>36.200000000000003</v>
      </c>
      <c r="D872" s="1">
        <v>0</v>
      </c>
      <c r="E872" s="1" t="s">
        <v>11</v>
      </c>
      <c r="F872" s="1" t="s">
        <v>9</v>
      </c>
      <c r="G872" s="1">
        <v>8457.8179999999993</v>
      </c>
      <c r="H872" t="str">
        <f t="shared" si="13"/>
        <v>50-59</v>
      </c>
    </row>
    <row r="873" spans="1:8" ht="15.75" customHeight="1">
      <c r="A873" s="1">
        <v>26</v>
      </c>
      <c r="B873" s="1" t="s">
        <v>7</v>
      </c>
      <c r="C873" s="1">
        <v>29.48</v>
      </c>
      <c r="D873" s="1">
        <v>1</v>
      </c>
      <c r="E873" s="1" t="s">
        <v>11</v>
      </c>
      <c r="F873" s="1" t="s">
        <v>12</v>
      </c>
      <c r="G873" s="1">
        <v>3392.3652000000002</v>
      </c>
      <c r="H873" t="str">
        <f t="shared" si="13"/>
        <v>18-29</v>
      </c>
    </row>
    <row r="874" spans="1:8" ht="15.75" customHeight="1">
      <c r="A874" s="1">
        <v>42</v>
      </c>
      <c r="B874" s="1" t="s">
        <v>10</v>
      </c>
      <c r="C874" s="1">
        <v>24.86</v>
      </c>
      <c r="D874" s="1">
        <v>0</v>
      </c>
      <c r="E874" s="1" t="s">
        <v>11</v>
      </c>
      <c r="F874" s="1" t="s">
        <v>12</v>
      </c>
      <c r="G874" s="1">
        <v>5966.8873999999996</v>
      </c>
      <c r="H874" t="str">
        <f t="shared" si="13"/>
        <v>40-49</v>
      </c>
    </row>
    <row r="875" spans="1:8" ht="15.75" customHeight="1">
      <c r="A875" s="1">
        <v>43</v>
      </c>
      <c r="B875" s="1" t="s">
        <v>10</v>
      </c>
      <c r="C875" s="1">
        <v>30.1</v>
      </c>
      <c r="D875" s="1">
        <v>1</v>
      </c>
      <c r="E875" s="1" t="s">
        <v>11</v>
      </c>
      <c r="F875" s="1" t="s">
        <v>9</v>
      </c>
      <c r="G875" s="1">
        <v>6849.0259999999998</v>
      </c>
      <c r="H875" t="str">
        <f t="shared" si="13"/>
        <v>40-49</v>
      </c>
    </row>
    <row r="876" spans="1:8" ht="15.75" customHeight="1">
      <c r="A876" s="1">
        <v>44</v>
      </c>
      <c r="B876" s="1" t="s">
        <v>10</v>
      </c>
      <c r="C876" s="1">
        <v>21.85</v>
      </c>
      <c r="D876" s="1">
        <v>3</v>
      </c>
      <c r="E876" s="1" t="s">
        <v>11</v>
      </c>
      <c r="F876" s="1" t="s">
        <v>14</v>
      </c>
      <c r="G876" s="1">
        <v>8891.1394999999993</v>
      </c>
      <c r="H876" t="str">
        <f t="shared" si="13"/>
        <v>40-49</v>
      </c>
    </row>
    <row r="877" spans="1:8" ht="15.75" customHeight="1">
      <c r="A877" s="1">
        <v>23</v>
      </c>
      <c r="B877" s="1" t="s">
        <v>7</v>
      </c>
      <c r="C877" s="1">
        <v>28.12</v>
      </c>
      <c r="D877" s="1">
        <v>0</v>
      </c>
      <c r="E877" s="1" t="s">
        <v>11</v>
      </c>
      <c r="F877" s="1" t="s">
        <v>13</v>
      </c>
      <c r="G877" s="1">
        <v>2690.1138000000001</v>
      </c>
      <c r="H877" t="str">
        <f t="shared" si="13"/>
        <v>18-29</v>
      </c>
    </row>
    <row r="878" spans="1:8" ht="15.75" customHeight="1">
      <c r="A878" s="1">
        <v>49</v>
      </c>
      <c r="B878" s="1" t="s">
        <v>7</v>
      </c>
      <c r="C878" s="1">
        <v>27.1</v>
      </c>
      <c r="D878" s="1">
        <v>1</v>
      </c>
      <c r="E878" s="1" t="s">
        <v>11</v>
      </c>
      <c r="F878" s="1" t="s">
        <v>9</v>
      </c>
      <c r="G878" s="1">
        <v>26140.3603</v>
      </c>
      <c r="H878" t="str">
        <f t="shared" si="13"/>
        <v>40-49</v>
      </c>
    </row>
    <row r="879" spans="1:8" ht="15.75" customHeight="1">
      <c r="A879" s="1">
        <v>33</v>
      </c>
      <c r="B879" s="1" t="s">
        <v>10</v>
      </c>
      <c r="C879" s="1">
        <v>33.44</v>
      </c>
      <c r="D879" s="1">
        <v>5</v>
      </c>
      <c r="E879" s="1" t="s">
        <v>11</v>
      </c>
      <c r="F879" s="1" t="s">
        <v>12</v>
      </c>
      <c r="G879" s="1">
        <v>6653.7885999999999</v>
      </c>
      <c r="H879" t="str">
        <f t="shared" si="13"/>
        <v>30-39</v>
      </c>
    </row>
    <row r="880" spans="1:8" ht="15.75" customHeight="1">
      <c r="A880" s="1">
        <v>41</v>
      </c>
      <c r="B880" s="1" t="s">
        <v>10</v>
      </c>
      <c r="C880" s="1">
        <v>28.8</v>
      </c>
      <c r="D880" s="1">
        <v>1</v>
      </c>
      <c r="E880" s="1" t="s">
        <v>11</v>
      </c>
      <c r="F880" s="1" t="s">
        <v>9</v>
      </c>
      <c r="G880" s="1">
        <v>6282.2349999999997</v>
      </c>
      <c r="H880" t="str">
        <f t="shared" si="13"/>
        <v>40-49</v>
      </c>
    </row>
    <row r="881" spans="1:8" ht="15.75" customHeight="1">
      <c r="A881" s="1">
        <v>37</v>
      </c>
      <c r="B881" s="1" t="s">
        <v>7</v>
      </c>
      <c r="C881" s="1">
        <v>29.5</v>
      </c>
      <c r="D881" s="1">
        <v>2</v>
      </c>
      <c r="E881" s="1" t="s">
        <v>11</v>
      </c>
      <c r="F881" s="1" t="s">
        <v>9</v>
      </c>
      <c r="G881" s="1">
        <v>6311.9520000000002</v>
      </c>
      <c r="H881" t="str">
        <f t="shared" si="13"/>
        <v>30-39</v>
      </c>
    </row>
    <row r="882" spans="1:8" ht="15.75" customHeight="1">
      <c r="A882" s="1">
        <v>22</v>
      </c>
      <c r="B882" s="1" t="s">
        <v>10</v>
      </c>
      <c r="C882" s="1">
        <v>34.799999999999997</v>
      </c>
      <c r="D882" s="1">
        <v>3</v>
      </c>
      <c r="E882" s="1" t="s">
        <v>11</v>
      </c>
      <c r="F882" s="1" t="s">
        <v>9</v>
      </c>
      <c r="G882" s="1">
        <v>3443.0639999999999</v>
      </c>
      <c r="H882" t="str">
        <f t="shared" si="13"/>
        <v>18-29</v>
      </c>
    </row>
    <row r="883" spans="1:8" ht="15.75" customHeight="1">
      <c r="A883" s="1">
        <v>23</v>
      </c>
      <c r="B883" s="1" t="s">
        <v>10</v>
      </c>
      <c r="C883" s="1">
        <v>27.36</v>
      </c>
      <c r="D883" s="1">
        <v>1</v>
      </c>
      <c r="E883" s="1" t="s">
        <v>11</v>
      </c>
      <c r="F883" s="1" t="s">
        <v>13</v>
      </c>
      <c r="G883" s="1">
        <v>2789.0574000000001</v>
      </c>
      <c r="H883" t="str">
        <f t="shared" si="13"/>
        <v>18-29</v>
      </c>
    </row>
    <row r="884" spans="1:8" ht="15.75" customHeight="1">
      <c r="A884" s="1">
        <v>21</v>
      </c>
      <c r="B884" s="1" t="s">
        <v>7</v>
      </c>
      <c r="C884" s="1">
        <v>22.135000000000002</v>
      </c>
      <c r="D884" s="1">
        <v>0</v>
      </c>
      <c r="E884" s="1" t="s">
        <v>11</v>
      </c>
      <c r="F884" s="1" t="s">
        <v>14</v>
      </c>
      <c r="G884" s="1">
        <v>2585.8506499999999</v>
      </c>
      <c r="H884" t="str">
        <f t="shared" si="13"/>
        <v>18-29</v>
      </c>
    </row>
    <row r="885" spans="1:8" ht="15.75" customHeight="1">
      <c r="A885" s="1">
        <v>51</v>
      </c>
      <c r="B885" s="1" t="s">
        <v>7</v>
      </c>
      <c r="C885" s="1">
        <v>37.049999999999997</v>
      </c>
      <c r="D885" s="1">
        <v>3</v>
      </c>
      <c r="E885" s="1" t="s">
        <v>8</v>
      </c>
      <c r="F885" s="1" t="s">
        <v>14</v>
      </c>
      <c r="G885" s="1">
        <v>46255.112500000003</v>
      </c>
      <c r="H885" t="str">
        <f t="shared" si="13"/>
        <v>50-59</v>
      </c>
    </row>
    <row r="886" spans="1:8" ht="15.75" customHeight="1">
      <c r="A886" s="1">
        <v>25</v>
      </c>
      <c r="B886" s="1" t="s">
        <v>10</v>
      </c>
      <c r="C886" s="1">
        <v>26.695</v>
      </c>
      <c r="D886" s="1">
        <v>4</v>
      </c>
      <c r="E886" s="1" t="s">
        <v>11</v>
      </c>
      <c r="F886" s="1" t="s">
        <v>13</v>
      </c>
      <c r="G886" s="1">
        <v>4877.9810500000003</v>
      </c>
      <c r="H886" t="str">
        <f t="shared" si="13"/>
        <v>18-29</v>
      </c>
    </row>
    <row r="887" spans="1:8" ht="15.75" customHeight="1">
      <c r="A887" s="1">
        <v>32</v>
      </c>
      <c r="B887" s="1" t="s">
        <v>10</v>
      </c>
      <c r="C887" s="1">
        <v>28.93</v>
      </c>
      <c r="D887" s="1">
        <v>1</v>
      </c>
      <c r="E887" s="1" t="s">
        <v>8</v>
      </c>
      <c r="F887" s="1" t="s">
        <v>12</v>
      </c>
      <c r="G887" s="1">
        <v>19719.6947</v>
      </c>
      <c r="H887" t="str">
        <f t="shared" si="13"/>
        <v>30-39</v>
      </c>
    </row>
    <row r="888" spans="1:8" ht="15.75" customHeight="1">
      <c r="A888" s="1">
        <v>57</v>
      </c>
      <c r="B888" s="1" t="s">
        <v>10</v>
      </c>
      <c r="C888" s="1">
        <v>28.975000000000001</v>
      </c>
      <c r="D888" s="1">
        <v>0</v>
      </c>
      <c r="E888" s="1" t="s">
        <v>8</v>
      </c>
      <c r="F888" s="1" t="s">
        <v>14</v>
      </c>
      <c r="G888" s="1">
        <v>27218.437249999999</v>
      </c>
      <c r="H888" t="str">
        <f t="shared" si="13"/>
        <v>50-59</v>
      </c>
    </row>
    <row r="889" spans="1:8" ht="15.75" customHeight="1">
      <c r="A889" s="1">
        <v>36</v>
      </c>
      <c r="B889" s="1" t="s">
        <v>7</v>
      </c>
      <c r="C889" s="1">
        <v>30.02</v>
      </c>
      <c r="D889" s="1">
        <v>0</v>
      </c>
      <c r="E889" s="1" t="s">
        <v>11</v>
      </c>
      <c r="F889" s="1" t="s">
        <v>13</v>
      </c>
      <c r="G889" s="1">
        <v>5272.1758</v>
      </c>
      <c r="H889" t="str">
        <f t="shared" si="13"/>
        <v>30-39</v>
      </c>
    </row>
    <row r="890" spans="1:8" ht="15.75" customHeight="1">
      <c r="A890" s="1">
        <v>22</v>
      </c>
      <c r="B890" s="1" t="s">
        <v>10</v>
      </c>
      <c r="C890" s="1">
        <v>39.5</v>
      </c>
      <c r="D890" s="1">
        <v>0</v>
      </c>
      <c r="E890" s="1" t="s">
        <v>11</v>
      </c>
      <c r="F890" s="1" t="s">
        <v>9</v>
      </c>
      <c r="G890" s="1">
        <v>1682.597</v>
      </c>
      <c r="H890" t="str">
        <f t="shared" si="13"/>
        <v>18-29</v>
      </c>
    </row>
    <row r="891" spans="1:8" ht="15.75" customHeight="1">
      <c r="A891" s="1">
        <v>57</v>
      </c>
      <c r="B891" s="1" t="s">
        <v>10</v>
      </c>
      <c r="C891" s="1">
        <v>33.630000000000003</v>
      </c>
      <c r="D891" s="1">
        <v>1</v>
      </c>
      <c r="E891" s="1" t="s">
        <v>11</v>
      </c>
      <c r="F891" s="1" t="s">
        <v>13</v>
      </c>
      <c r="G891" s="1">
        <v>11945.1327</v>
      </c>
      <c r="H891" t="str">
        <f t="shared" si="13"/>
        <v>50-59</v>
      </c>
    </row>
    <row r="892" spans="1:8" ht="15.75" customHeight="1">
      <c r="A892" s="1">
        <v>64</v>
      </c>
      <c r="B892" s="1" t="s">
        <v>7</v>
      </c>
      <c r="C892" s="1">
        <v>26.885000000000002</v>
      </c>
      <c r="D892" s="1">
        <v>0</v>
      </c>
      <c r="E892" s="1" t="s">
        <v>8</v>
      </c>
      <c r="F892" s="1" t="s">
        <v>13</v>
      </c>
      <c r="G892" s="1">
        <v>29330.98315</v>
      </c>
      <c r="H892" t="str">
        <f t="shared" si="13"/>
        <v>60+</v>
      </c>
    </row>
    <row r="893" spans="1:8" ht="15.75" customHeight="1">
      <c r="A893" s="1">
        <v>36</v>
      </c>
      <c r="B893" s="1" t="s">
        <v>7</v>
      </c>
      <c r="C893" s="1">
        <v>29.04</v>
      </c>
      <c r="D893" s="1">
        <v>4</v>
      </c>
      <c r="E893" s="1" t="s">
        <v>11</v>
      </c>
      <c r="F893" s="1" t="s">
        <v>12</v>
      </c>
      <c r="G893" s="1">
        <v>7243.8136000000004</v>
      </c>
      <c r="H893" t="str">
        <f t="shared" si="13"/>
        <v>30-39</v>
      </c>
    </row>
    <row r="894" spans="1:8" ht="15.75" customHeight="1">
      <c r="A894" s="1">
        <v>54</v>
      </c>
      <c r="B894" s="1" t="s">
        <v>10</v>
      </c>
      <c r="C894" s="1">
        <v>24.035</v>
      </c>
      <c r="D894" s="1">
        <v>0</v>
      </c>
      <c r="E894" s="1" t="s">
        <v>11</v>
      </c>
      <c r="F894" s="1" t="s">
        <v>14</v>
      </c>
      <c r="G894" s="1">
        <v>10422.916649999999</v>
      </c>
      <c r="H894" t="str">
        <f t="shared" si="13"/>
        <v>50-59</v>
      </c>
    </row>
    <row r="895" spans="1:8" ht="15.75" customHeight="1">
      <c r="A895" s="1">
        <v>47</v>
      </c>
      <c r="B895" s="1" t="s">
        <v>10</v>
      </c>
      <c r="C895" s="1">
        <v>38.94</v>
      </c>
      <c r="D895" s="1">
        <v>2</v>
      </c>
      <c r="E895" s="1" t="s">
        <v>8</v>
      </c>
      <c r="F895" s="1" t="s">
        <v>12</v>
      </c>
      <c r="G895" s="1">
        <v>44202.653599999998</v>
      </c>
      <c r="H895" t="str">
        <f t="shared" si="13"/>
        <v>40-49</v>
      </c>
    </row>
    <row r="896" spans="1:8" ht="15.75" customHeight="1">
      <c r="A896" s="1">
        <v>62</v>
      </c>
      <c r="B896" s="1" t="s">
        <v>10</v>
      </c>
      <c r="C896" s="1">
        <v>32.11</v>
      </c>
      <c r="D896" s="1">
        <v>0</v>
      </c>
      <c r="E896" s="1" t="s">
        <v>11</v>
      </c>
      <c r="F896" s="1" t="s">
        <v>14</v>
      </c>
      <c r="G896" s="1">
        <v>13555.0049</v>
      </c>
      <c r="H896" t="str">
        <f t="shared" si="13"/>
        <v>60+</v>
      </c>
    </row>
    <row r="897" spans="1:8" ht="15.75" customHeight="1">
      <c r="A897" s="1">
        <v>61</v>
      </c>
      <c r="B897" s="1" t="s">
        <v>7</v>
      </c>
      <c r="C897" s="1">
        <v>44</v>
      </c>
      <c r="D897" s="1">
        <v>0</v>
      </c>
      <c r="E897" s="1" t="s">
        <v>11</v>
      </c>
      <c r="F897" s="1" t="s">
        <v>9</v>
      </c>
      <c r="G897" s="1">
        <v>13063.883</v>
      </c>
      <c r="H897" t="str">
        <f t="shared" si="13"/>
        <v>60+</v>
      </c>
    </row>
    <row r="898" spans="1:8" ht="15.75" customHeight="1">
      <c r="A898" s="1">
        <v>43</v>
      </c>
      <c r="B898" s="1" t="s">
        <v>7</v>
      </c>
      <c r="C898" s="1">
        <v>20.045000000000002</v>
      </c>
      <c r="D898" s="1">
        <v>2</v>
      </c>
      <c r="E898" s="1" t="s">
        <v>8</v>
      </c>
      <c r="F898" s="1" t="s">
        <v>14</v>
      </c>
      <c r="G898" s="1">
        <v>19798.054550000001</v>
      </c>
      <c r="H898" t="str">
        <f t="shared" si="13"/>
        <v>40-49</v>
      </c>
    </row>
    <row r="899" spans="1:8" ht="15.75" customHeight="1">
      <c r="A899" s="1">
        <v>19</v>
      </c>
      <c r="B899" s="1" t="s">
        <v>10</v>
      </c>
      <c r="C899" s="1">
        <v>25.555</v>
      </c>
      <c r="D899" s="1">
        <v>1</v>
      </c>
      <c r="E899" s="1" t="s">
        <v>11</v>
      </c>
      <c r="F899" s="1" t="s">
        <v>13</v>
      </c>
      <c r="G899" s="1">
        <v>2221.5644499999999</v>
      </c>
      <c r="H899" t="str">
        <f t="shared" ref="H899:H962" si="14">IF(A899&lt;30,"18-29",IF(A899&lt;40,"30-39",IF(A899&lt;50,"40-49",IF(A899&lt;60,"50-59","60+"))))</f>
        <v>18-29</v>
      </c>
    </row>
    <row r="900" spans="1:8" ht="15.75" customHeight="1">
      <c r="A900" s="1">
        <v>18</v>
      </c>
      <c r="B900" s="1" t="s">
        <v>7</v>
      </c>
      <c r="C900" s="1">
        <v>40.26</v>
      </c>
      <c r="D900" s="1">
        <v>0</v>
      </c>
      <c r="E900" s="1" t="s">
        <v>11</v>
      </c>
      <c r="F900" s="1" t="s">
        <v>12</v>
      </c>
      <c r="G900" s="1">
        <v>1634.5734</v>
      </c>
      <c r="H900" t="str">
        <f t="shared" si="14"/>
        <v>18-29</v>
      </c>
    </row>
    <row r="901" spans="1:8" ht="15.75" customHeight="1">
      <c r="A901" s="1">
        <v>19</v>
      </c>
      <c r="B901" s="1" t="s">
        <v>7</v>
      </c>
      <c r="C901" s="1">
        <v>22.515000000000001</v>
      </c>
      <c r="D901" s="1">
        <v>0</v>
      </c>
      <c r="E901" s="1" t="s">
        <v>11</v>
      </c>
      <c r="F901" s="1" t="s">
        <v>13</v>
      </c>
      <c r="G901" s="1">
        <v>2117.3388500000001</v>
      </c>
      <c r="H901" t="str">
        <f t="shared" si="14"/>
        <v>18-29</v>
      </c>
    </row>
    <row r="902" spans="1:8" ht="15.75" customHeight="1">
      <c r="A902" s="1">
        <v>49</v>
      </c>
      <c r="B902" s="1" t="s">
        <v>10</v>
      </c>
      <c r="C902" s="1">
        <v>22.515000000000001</v>
      </c>
      <c r="D902" s="1">
        <v>0</v>
      </c>
      <c r="E902" s="1" t="s">
        <v>11</v>
      </c>
      <c r="F902" s="1" t="s">
        <v>14</v>
      </c>
      <c r="G902" s="1">
        <v>8688.8588500000005</v>
      </c>
      <c r="H902" t="str">
        <f t="shared" si="14"/>
        <v>40-49</v>
      </c>
    </row>
    <row r="903" spans="1:8" ht="15.75" customHeight="1">
      <c r="A903" s="1">
        <v>60</v>
      </c>
      <c r="B903" s="1" t="s">
        <v>10</v>
      </c>
      <c r="C903" s="1">
        <v>40.92</v>
      </c>
      <c r="D903" s="1">
        <v>0</v>
      </c>
      <c r="E903" s="1" t="s">
        <v>8</v>
      </c>
      <c r="F903" s="1" t="s">
        <v>12</v>
      </c>
      <c r="G903" s="1">
        <v>48673.558799999999</v>
      </c>
      <c r="H903" t="str">
        <f t="shared" si="14"/>
        <v>60+</v>
      </c>
    </row>
    <row r="904" spans="1:8" ht="15.75" customHeight="1">
      <c r="A904" s="1">
        <v>26</v>
      </c>
      <c r="B904" s="1" t="s">
        <v>10</v>
      </c>
      <c r="C904" s="1">
        <v>27.265000000000001</v>
      </c>
      <c r="D904" s="1">
        <v>3</v>
      </c>
      <c r="E904" s="1" t="s">
        <v>11</v>
      </c>
      <c r="F904" s="1" t="s">
        <v>14</v>
      </c>
      <c r="G904" s="1">
        <v>4661.2863500000003</v>
      </c>
      <c r="H904" t="str">
        <f t="shared" si="14"/>
        <v>18-29</v>
      </c>
    </row>
    <row r="905" spans="1:8" ht="15.75" customHeight="1">
      <c r="A905" s="1">
        <v>49</v>
      </c>
      <c r="B905" s="1" t="s">
        <v>10</v>
      </c>
      <c r="C905" s="1">
        <v>36.85</v>
      </c>
      <c r="D905" s="1">
        <v>0</v>
      </c>
      <c r="E905" s="1" t="s">
        <v>11</v>
      </c>
      <c r="F905" s="1" t="s">
        <v>12</v>
      </c>
      <c r="G905" s="1">
        <v>8125.7844999999998</v>
      </c>
      <c r="H905" t="str">
        <f t="shared" si="14"/>
        <v>40-49</v>
      </c>
    </row>
    <row r="906" spans="1:8" ht="15.75" customHeight="1">
      <c r="A906" s="1">
        <v>60</v>
      </c>
      <c r="B906" s="1" t="s">
        <v>7</v>
      </c>
      <c r="C906" s="1">
        <v>35.1</v>
      </c>
      <c r="D906" s="1">
        <v>0</v>
      </c>
      <c r="E906" s="1" t="s">
        <v>11</v>
      </c>
      <c r="F906" s="1" t="s">
        <v>9</v>
      </c>
      <c r="G906" s="1">
        <v>12644.589</v>
      </c>
      <c r="H906" t="str">
        <f t="shared" si="14"/>
        <v>60+</v>
      </c>
    </row>
    <row r="907" spans="1:8" ht="15.75" customHeight="1">
      <c r="A907" s="1">
        <v>26</v>
      </c>
      <c r="B907" s="1" t="s">
        <v>7</v>
      </c>
      <c r="C907" s="1">
        <v>29.355</v>
      </c>
      <c r="D907" s="1">
        <v>2</v>
      </c>
      <c r="E907" s="1" t="s">
        <v>11</v>
      </c>
      <c r="F907" s="1" t="s">
        <v>14</v>
      </c>
      <c r="G907" s="1">
        <v>4564.1914500000003</v>
      </c>
      <c r="H907" t="str">
        <f t="shared" si="14"/>
        <v>18-29</v>
      </c>
    </row>
    <row r="908" spans="1:8" ht="15.75" customHeight="1">
      <c r="A908" s="1">
        <v>27</v>
      </c>
      <c r="B908" s="1" t="s">
        <v>10</v>
      </c>
      <c r="C908" s="1">
        <v>32.585000000000001</v>
      </c>
      <c r="D908" s="1">
        <v>3</v>
      </c>
      <c r="E908" s="1" t="s">
        <v>11</v>
      </c>
      <c r="F908" s="1" t="s">
        <v>14</v>
      </c>
      <c r="G908" s="1">
        <v>4846.9201499999999</v>
      </c>
      <c r="H908" t="str">
        <f t="shared" si="14"/>
        <v>18-29</v>
      </c>
    </row>
    <row r="909" spans="1:8" ht="15.75" customHeight="1">
      <c r="A909" s="1">
        <v>44</v>
      </c>
      <c r="B909" s="1" t="s">
        <v>7</v>
      </c>
      <c r="C909" s="1">
        <v>32.340000000000003</v>
      </c>
      <c r="D909" s="1">
        <v>1</v>
      </c>
      <c r="E909" s="1" t="s">
        <v>11</v>
      </c>
      <c r="F909" s="1" t="s">
        <v>12</v>
      </c>
      <c r="G909" s="1">
        <v>7633.7205999999996</v>
      </c>
      <c r="H909" t="str">
        <f t="shared" si="14"/>
        <v>40-49</v>
      </c>
    </row>
    <row r="910" spans="1:8" ht="15.75" customHeight="1">
      <c r="A910" s="1">
        <v>63</v>
      </c>
      <c r="B910" s="1" t="s">
        <v>10</v>
      </c>
      <c r="C910" s="1">
        <v>39.799999999999997</v>
      </c>
      <c r="D910" s="1">
        <v>3</v>
      </c>
      <c r="E910" s="1" t="s">
        <v>11</v>
      </c>
      <c r="F910" s="1" t="s">
        <v>9</v>
      </c>
      <c r="G910" s="1">
        <v>15170.069</v>
      </c>
      <c r="H910" t="str">
        <f t="shared" si="14"/>
        <v>60+</v>
      </c>
    </row>
    <row r="911" spans="1:8" ht="15.75" customHeight="1">
      <c r="A911" s="1">
        <v>32</v>
      </c>
      <c r="B911" s="1" t="s">
        <v>7</v>
      </c>
      <c r="C911" s="1">
        <v>24.6</v>
      </c>
      <c r="D911" s="1">
        <v>0</v>
      </c>
      <c r="E911" s="1" t="s">
        <v>8</v>
      </c>
      <c r="F911" s="1" t="s">
        <v>9</v>
      </c>
      <c r="G911" s="1">
        <v>17496.306</v>
      </c>
      <c r="H911" t="str">
        <f t="shared" si="14"/>
        <v>30-39</v>
      </c>
    </row>
    <row r="912" spans="1:8" ht="15.75" customHeight="1">
      <c r="A912" s="1">
        <v>22</v>
      </c>
      <c r="B912" s="1" t="s">
        <v>10</v>
      </c>
      <c r="C912" s="1">
        <v>28.31</v>
      </c>
      <c r="D912" s="1">
        <v>1</v>
      </c>
      <c r="E912" s="1" t="s">
        <v>11</v>
      </c>
      <c r="F912" s="1" t="s">
        <v>13</v>
      </c>
      <c r="G912" s="1">
        <v>2639.0428999999999</v>
      </c>
      <c r="H912" t="str">
        <f t="shared" si="14"/>
        <v>18-29</v>
      </c>
    </row>
    <row r="913" spans="1:8" ht="15.75" customHeight="1">
      <c r="A913" s="1">
        <v>18</v>
      </c>
      <c r="B913" s="1" t="s">
        <v>10</v>
      </c>
      <c r="C913" s="1">
        <v>31.73</v>
      </c>
      <c r="D913" s="1">
        <v>0</v>
      </c>
      <c r="E913" s="1" t="s">
        <v>8</v>
      </c>
      <c r="F913" s="1" t="s">
        <v>14</v>
      </c>
      <c r="G913" s="1">
        <v>33732.686699999998</v>
      </c>
      <c r="H913" t="str">
        <f t="shared" si="14"/>
        <v>18-29</v>
      </c>
    </row>
    <row r="914" spans="1:8" ht="15.75" customHeight="1">
      <c r="A914" s="1">
        <v>59</v>
      </c>
      <c r="B914" s="1" t="s">
        <v>7</v>
      </c>
      <c r="C914" s="1">
        <v>26.695</v>
      </c>
      <c r="D914" s="1">
        <v>3</v>
      </c>
      <c r="E914" s="1" t="s">
        <v>11</v>
      </c>
      <c r="F914" s="1" t="s">
        <v>13</v>
      </c>
      <c r="G914" s="1">
        <v>14382.709049999999</v>
      </c>
      <c r="H914" t="str">
        <f t="shared" si="14"/>
        <v>50-59</v>
      </c>
    </row>
    <row r="915" spans="1:8" ht="15.75" customHeight="1">
      <c r="A915" s="1">
        <v>44</v>
      </c>
      <c r="B915" s="1" t="s">
        <v>7</v>
      </c>
      <c r="C915" s="1">
        <v>27.5</v>
      </c>
      <c r="D915" s="1">
        <v>1</v>
      </c>
      <c r="E915" s="1" t="s">
        <v>11</v>
      </c>
      <c r="F915" s="1" t="s">
        <v>9</v>
      </c>
      <c r="G915" s="1">
        <v>7626.9930000000004</v>
      </c>
      <c r="H915" t="str">
        <f t="shared" si="14"/>
        <v>40-49</v>
      </c>
    </row>
    <row r="916" spans="1:8" ht="15.75" customHeight="1">
      <c r="A916" s="1">
        <v>33</v>
      </c>
      <c r="B916" s="1" t="s">
        <v>10</v>
      </c>
      <c r="C916" s="1">
        <v>24.605</v>
      </c>
      <c r="D916" s="1">
        <v>2</v>
      </c>
      <c r="E916" s="1" t="s">
        <v>11</v>
      </c>
      <c r="F916" s="1" t="s">
        <v>13</v>
      </c>
      <c r="G916" s="1">
        <v>5257.5079500000002</v>
      </c>
      <c r="H916" t="str">
        <f t="shared" si="14"/>
        <v>30-39</v>
      </c>
    </row>
    <row r="917" spans="1:8" ht="15.75" customHeight="1">
      <c r="A917" s="1">
        <v>24</v>
      </c>
      <c r="B917" s="1" t="s">
        <v>7</v>
      </c>
      <c r="C917" s="1">
        <v>33.99</v>
      </c>
      <c r="D917" s="1">
        <v>0</v>
      </c>
      <c r="E917" s="1" t="s">
        <v>11</v>
      </c>
      <c r="F917" s="1" t="s">
        <v>12</v>
      </c>
      <c r="G917" s="1">
        <v>2473.3341</v>
      </c>
      <c r="H917" t="str">
        <f t="shared" si="14"/>
        <v>18-29</v>
      </c>
    </row>
    <row r="918" spans="1:8" ht="15.75" customHeight="1">
      <c r="A918" s="1">
        <v>43</v>
      </c>
      <c r="B918" s="1" t="s">
        <v>7</v>
      </c>
      <c r="C918" s="1">
        <v>26.885000000000002</v>
      </c>
      <c r="D918" s="1">
        <v>0</v>
      </c>
      <c r="E918" s="1" t="s">
        <v>8</v>
      </c>
      <c r="F918" s="1" t="s">
        <v>13</v>
      </c>
      <c r="G918" s="1">
        <v>21774.32215</v>
      </c>
      <c r="H918" t="str">
        <f t="shared" si="14"/>
        <v>40-49</v>
      </c>
    </row>
    <row r="919" spans="1:8" ht="15.75" customHeight="1">
      <c r="A919" s="1">
        <v>45</v>
      </c>
      <c r="B919" s="1" t="s">
        <v>10</v>
      </c>
      <c r="C919" s="1">
        <v>22.895</v>
      </c>
      <c r="D919" s="1">
        <v>0</v>
      </c>
      <c r="E919" s="1" t="s">
        <v>8</v>
      </c>
      <c r="F919" s="1" t="s">
        <v>14</v>
      </c>
      <c r="G919" s="1">
        <v>35069.374519999998</v>
      </c>
      <c r="H919" t="str">
        <f t="shared" si="14"/>
        <v>40-49</v>
      </c>
    </row>
    <row r="920" spans="1:8" ht="15.75" customHeight="1">
      <c r="A920" s="1">
        <v>61</v>
      </c>
      <c r="B920" s="1" t="s">
        <v>7</v>
      </c>
      <c r="C920" s="1">
        <v>28.2</v>
      </c>
      <c r="D920" s="1">
        <v>0</v>
      </c>
      <c r="E920" s="1" t="s">
        <v>11</v>
      </c>
      <c r="F920" s="1" t="s">
        <v>9</v>
      </c>
      <c r="G920" s="1">
        <v>13041.921</v>
      </c>
      <c r="H920" t="str">
        <f t="shared" si="14"/>
        <v>60+</v>
      </c>
    </row>
    <row r="921" spans="1:8" ht="15.75" customHeight="1">
      <c r="A921" s="1">
        <v>35</v>
      </c>
      <c r="B921" s="1" t="s">
        <v>7</v>
      </c>
      <c r="C921" s="1">
        <v>34.21</v>
      </c>
      <c r="D921" s="1">
        <v>1</v>
      </c>
      <c r="E921" s="1" t="s">
        <v>11</v>
      </c>
      <c r="F921" s="1" t="s">
        <v>12</v>
      </c>
      <c r="G921" s="1">
        <v>5245.2268999999997</v>
      </c>
      <c r="H921" t="str">
        <f t="shared" si="14"/>
        <v>30-39</v>
      </c>
    </row>
    <row r="922" spans="1:8" ht="15.75" customHeight="1">
      <c r="A922" s="1">
        <v>62</v>
      </c>
      <c r="B922" s="1" t="s">
        <v>7</v>
      </c>
      <c r="C922" s="1">
        <v>25</v>
      </c>
      <c r="D922" s="1">
        <v>0</v>
      </c>
      <c r="E922" s="1" t="s">
        <v>11</v>
      </c>
      <c r="F922" s="1" t="s">
        <v>9</v>
      </c>
      <c r="G922" s="1">
        <v>13451.121999999999</v>
      </c>
      <c r="H922" t="str">
        <f t="shared" si="14"/>
        <v>60+</v>
      </c>
    </row>
    <row r="923" spans="1:8" ht="15.75" customHeight="1">
      <c r="A923" s="1">
        <v>62</v>
      </c>
      <c r="B923" s="1" t="s">
        <v>7</v>
      </c>
      <c r="C923" s="1">
        <v>33.200000000000003</v>
      </c>
      <c r="D923" s="1">
        <v>0</v>
      </c>
      <c r="E923" s="1" t="s">
        <v>11</v>
      </c>
      <c r="F923" s="1" t="s">
        <v>9</v>
      </c>
      <c r="G923" s="1">
        <v>13462.52</v>
      </c>
      <c r="H923" t="str">
        <f t="shared" si="14"/>
        <v>60+</v>
      </c>
    </row>
    <row r="924" spans="1:8" ht="15.75" customHeight="1">
      <c r="A924" s="1">
        <v>38</v>
      </c>
      <c r="B924" s="1" t="s">
        <v>10</v>
      </c>
      <c r="C924" s="1">
        <v>31</v>
      </c>
      <c r="D924" s="1">
        <v>1</v>
      </c>
      <c r="E924" s="1" t="s">
        <v>11</v>
      </c>
      <c r="F924" s="1" t="s">
        <v>9</v>
      </c>
      <c r="G924" s="1">
        <v>5488.2619999999997</v>
      </c>
      <c r="H924" t="str">
        <f t="shared" si="14"/>
        <v>30-39</v>
      </c>
    </row>
    <row r="925" spans="1:8" ht="15.75" customHeight="1">
      <c r="A925" s="1">
        <v>34</v>
      </c>
      <c r="B925" s="1" t="s">
        <v>10</v>
      </c>
      <c r="C925" s="1">
        <v>35.814999999999998</v>
      </c>
      <c r="D925" s="1">
        <v>0</v>
      </c>
      <c r="E925" s="1" t="s">
        <v>11</v>
      </c>
      <c r="F925" s="1" t="s">
        <v>13</v>
      </c>
      <c r="G925" s="1">
        <v>4320.4108500000002</v>
      </c>
      <c r="H925" t="str">
        <f t="shared" si="14"/>
        <v>30-39</v>
      </c>
    </row>
    <row r="926" spans="1:8" ht="15.75" customHeight="1">
      <c r="A926" s="1">
        <v>43</v>
      </c>
      <c r="B926" s="1" t="s">
        <v>10</v>
      </c>
      <c r="C926" s="1">
        <v>23.2</v>
      </c>
      <c r="D926" s="1">
        <v>0</v>
      </c>
      <c r="E926" s="1" t="s">
        <v>11</v>
      </c>
      <c r="F926" s="1" t="s">
        <v>9</v>
      </c>
      <c r="G926" s="1">
        <v>6250.4350000000004</v>
      </c>
      <c r="H926" t="str">
        <f t="shared" si="14"/>
        <v>40-49</v>
      </c>
    </row>
    <row r="927" spans="1:8" ht="15.75" customHeight="1">
      <c r="A927" s="1">
        <v>50</v>
      </c>
      <c r="B927" s="1" t="s">
        <v>10</v>
      </c>
      <c r="C927" s="1">
        <v>32.11</v>
      </c>
      <c r="D927" s="1">
        <v>2</v>
      </c>
      <c r="E927" s="1" t="s">
        <v>11</v>
      </c>
      <c r="F927" s="1" t="s">
        <v>14</v>
      </c>
      <c r="G927" s="1">
        <v>25333.332839999999</v>
      </c>
      <c r="H927" t="str">
        <f t="shared" si="14"/>
        <v>50-59</v>
      </c>
    </row>
    <row r="928" spans="1:8" ht="15.75" customHeight="1">
      <c r="A928" s="1">
        <v>19</v>
      </c>
      <c r="B928" s="1" t="s">
        <v>7</v>
      </c>
      <c r="C928" s="1">
        <v>23.4</v>
      </c>
      <c r="D928" s="1">
        <v>2</v>
      </c>
      <c r="E928" s="1" t="s">
        <v>11</v>
      </c>
      <c r="F928" s="1" t="s">
        <v>9</v>
      </c>
      <c r="G928" s="1">
        <v>2913.569</v>
      </c>
      <c r="H928" t="str">
        <f t="shared" si="14"/>
        <v>18-29</v>
      </c>
    </row>
    <row r="929" spans="1:8" ht="15.75" customHeight="1">
      <c r="A929" s="1">
        <v>57</v>
      </c>
      <c r="B929" s="1" t="s">
        <v>7</v>
      </c>
      <c r="C929" s="1">
        <v>20.100000000000001</v>
      </c>
      <c r="D929" s="1">
        <v>1</v>
      </c>
      <c r="E929" s="1" t="s">
        <v>11</v>
      </c>
      <c r="F929" s="1" t="s">
        <v>9</v>
      </c>
      <c r="G929" s="1">
        <v>12032.325999999999</v>
      </c>
      <c r="H929" t="str">
        <f t="shared" si="14"/>
        <v>50-59</v>
      </c>
    </row>
    <row r="930" spans="1:8" ht="15.75" customHeight="1">
      <c r="A930" s="1">
        <v>62</v>
      </c>
      <c r="B930" s="1" t="s">
        <v>7</v>
      </c>
      <c r="C930" s="1">
        <v>39.159999999999997</v>
      </c>
      <c r="D930" s="1">
        <v>0</v>
      </c>
      <c r="E930" s="1" t="s">
        <v>11</v>
      </c>
      <c r="F930" s="1" t="s">
        <v>12</v>
      </c>
      <c r="G930" s="1">
        <v>13470.804400000001</v>
      </c>
      <c r="H930" t="str">
        <f t="shared" si="14"/>
        <v>60+</v>
      </c>
    </row>
    <row r="931" spans="1:8" ht="15.75" customHeight="1">
      <c r="A931" s="1">
        <v>41</v>
      </c>
      <c r="B931" s="1" t="s">
        <v>10</v>
      </c>
      <c r="C931" s="1">
        <v>34.21</v>
      </c>
      <c r="D931" s="1">
        <v>1</v>
      </c>
      <c r="E931" s="1" t="s">
        <v>11</v>
      </c>
      <c r="F931" s="1" t="s">
        <v>12</v>
      </c>
      <c r="G931" s="1">
        <v>6289.7548999999999</v>
      </c>
      <c r="H931" t="str">
        <f t="shared" si="14"/>
        <v>40-49</v>
      </c>
    </row>
    <row r="932" spans="1:8" ht="15.75" customHeight="1">
      <c r="A932" s="1">
        <v>26</v>
      </c>
      <c r="B932" s="1" t="s">
        <v>10</v>
      </c>
      <c r="C932" s="1">
        <v>46.53</v>
      </c>
      <c r="D932" s="1">
        <v>1</v>
      </c>
      <c r="E932" s="1" t="s">
        <v>11</v>
      </c>
      <c r="F932" s="1" t="s">
        <v>12</v>
      </c>
      <c r="G932" s="1">
        <v>2927.0646999999999</v>
      </c>
      <c r="H932" t="str">
        <f t="shared" si="14"/>
        <v>18-29</v>
      </c>
    </row>
    <row r="933" spans="1:8" ht="15.75" customHeight="1">
      <c r="A933" s="1">
        <v>39</v>
      </c>
      <c r="B933" s="1" t="s">
        <v>7</v>
      </c>
      <c r="C933" s="1">
        <v>32.5</v>
      </c>
      <c r="D933" s="1">
        <v>1</v>
      </c>
      <c r="E933" s="1" t="s">
        <v>11</v>
      </c>
      <c r="F933" s="1" t="s">
        <v>9</v>
      </c>
      <c r="G933" s="1">
        <v>6238.2979999999998</v>
      </c>
      <c r="H933" t="str">
        <f t="shared" si="14"/>
        <v>30-39</v>
      </c>
    </row>
    <row r="934" spans="1:8" ht="15.75" customHeight="1">
      <c r="A934" s="1">
        <v>46</v>
      </c>
      <c r="B934" s="1" t="s">
        <v>10</v>
      </c>
      <c r="C934" s="1">
        <v>25.8</v>
      </c>
      <c r="D934" s="1">
        <v>5</v>
      </c>
      <c r="E934" s="1" t="s">
        <v>11</v>
      </c>
      <c r="F934" s="1" t="s">
        <v>9</v>
      </c>
      <c r="G934" s="1">
        <v>10096.969999999999</v>
      </c>
      <c r="H934" t="str">
        <f t="shared" si="14"/>
        <v>40-49</v>
      </c>
    </row>
    <row r="935" spans="1:8" ht="15.75" customHeight="1">
      <c r="A935" s="1">
        <v>45</v>
      </c>
      <c r="B935" s="1" t="s">
        <v>7</v>
      </c>
      <c r="C935" s="1">
        <v>35.299999999999997</v>
      </c>
      <c r="D935" s="1">
        <v>0</v>
      </c>
      <c r="E935" s="1" t="s">
        <v>11</v>
      </c>
      <c r="F935" s="1" t="s">
        <v>9</v>
      </c>
      <c r="G935" s="1">
        <v>7348.1419999999998</v>
      </c>
      <c r="H935" t="str">
        <f t="shared" si="14"/>
        <v>40-49</v>
      </c>
    </row>
    <row r="936" spans="1:8" ht="15.75" customHeight="1">
      <c r="A936" s="1">
        <v>32</v>
      </c>
      <c r="B936" s="1" t="s">
        <v>10</v>
      </c>
      <c r="C936" s="1">
        <v>37.18</v>
      </c>
      <c r="D936" s="1">
        <v>2</v>
      </c>
      <c r="E936" s="1" t="s">
        <v>11</v>
      </c>
      <c r="F936" s="1" t="s">
        <v>12</v>
      </c>
      <c r="G936" s="1">
        <v>4673.3922000000002</v>
      </c>
      <c r="H936" t="str">
        <f t="shared" si="14"/>
        <v>30-39</v>
      </c>
    </row>
    <row r="937" spans="1:8" ht="15.75" customHeight="1">
      <c r="A937" s="1">
        <v>59</v>
      </c>
      <c r="B937" s="1" t="s">
        <v>7</v>
      </c>
      <c r="C937" s="1">
        <v>27.5</v>
      </c>
      <c r="D937" s="1">
        <v>0</v>
      </c>
      <c r="E937" s="1" t="s">
        <v>11</v>
      </c>
      <c r="F937" s="1" t="s">
        <v>9</v>
      </c>
      <c r="G937" s="1">
        <v>12233.828</v>
      </c>
      <c r="H937" t="str">
        <f t="shared" si="14"/>
        <v>50-59</v>
      </c>
    </row>
    <row r="938" spans="1:8" ht="15.75" customHeight="1">
      <c r="A938" s="1">
        <v>44</v>
      </c>
      <c r="B938" s="1" t="s">
        <v>10</v>
      </c>
      <c r="C938" s="1">
        <v>29.734999999999999</v>
      </c>
      <c r="D938" s="1">
        <v>2</v>
      </c>
      <c r="E938" s="1" t="s">
        <v>11</v>
      </c>
      <c r="F938" s="1" t="s">
        <v>14</v>
      </c>
      <c r="G938" s="1">
        <v>32108.662820000001</v>
      </c>
      <c r="H938" t="str">
        <f t="shared" si="14"/>
        <v>40-49</v>
      </c>
    </row>
    <row r="939" spans="1:8" ht="15.75" customHeight="1">
      <c r="A939" s="1">
        <v>39</v>
      </c>
      <c r="B939" s="1" t="s">
        <v>7</v>
      </c>
      <c r="C939" s="1">
        <v>24.225000000000001</v>
      </c>
      <c r="D939" s="1">
        <v>5</v>
      </c>
      <c r="E939" s="1" t="s">
        <v>11</v>
      </c>
      <c r="F939" s="1" t="s">
        <v>13</v>
      </c>
      <c r="G939" s="1">
        <v>8965.7957499999993</v>
      </c>
      <c r="H939" t="str">
        <f t="shared" si="14"/>
        <v>30-39</v>
      </c>
    </row>
    <row r="940" spans="1:8" ht="15.75" customHeight="1">
      <c r="A940" s="1">
        <v>18</v>
      </c>
      <c r="B940" s="1" t="s">
        <v>10</v>
      </c>
      <c r="C940" s="1">
        <v>26.18</v>
      </c>
      <c r="D940" s="1">
        <v>2</v>
      </c>
      <c r="E940" s="1" t="s">
        <v>11</v>
      </c>
      <c r="F940" s="1" t="s">
        <v>12</v>
      </c>
      <c r="G940" s="1">
        <v>2304.0021999999999</v>
      </c>
      <c r="H940" t="str">
        <f t="shared" si="14"/>
        <v>18-29</v>
      </c>
    </row>
    <row r="941" spans="1:8" ht="15.75" customHeight="1">
      <c r="A941" s="1">
        <v>53</v>
      </c>
      <c r="B941" s="1" t="s">
        <v>10</v>
      </c>
      <c r="C941" s="1">
        <v>29.48</v>
      </c>
      <c r="D941" s="1">
        <v>0</v>
      </c>
      <c r="E941" s="1" t="s">
        <v>11</v>
      </c>
      <c r="F941" s="1" t="s">
        <v>12</v>
      </c>
      <c r="G941" s="1">
        <v>9487.6442000000006</v>
      </c>
      <c r="H941" t="str">
        <f t="shared" si="14"/>
        <v>50-59</v>
      </c>
    </row>
    <row r="942" spans="1:8" ht="15.75" customHeight="1">
      <c r="A942" s="1">
        <v>18</v>
      </c>
      <c r="B942" s="1" t="s">
        <v>10</v>
      </c>
      <c r="C942" s="1">
        <v>23.21</v>
      </c>
      <c r="D942" s="1">
        <v>0</v>
      </c>
      <c r="E942" s="1" t="s">
        <v>11</v>
      </c>
      <c r="F942" s="1" t="s">
        <v>12</v>
      </c>
      <c r="G942" s="1">
        <v>1121.8739</v>
      </c>
      <c r="H942" t="str">
        <f t="shared" si="14"/>
        <v>18-29</v>
      </c>
    </row>
    <row r="943" spans="1:8" ht="15.75" customHeight="1">
      <c r="A943" s="1">
        <v>50</v>
      </c>
      <c r="B943" s="1" t="s">
        <v>7</v>
      </c>
      <c r="C943" s="1">
        <v>46.09</v>
      </c>
      <c r="D943" s="1">
        <v>1</v>
      </c>
      <c r="E943" s="1" t="s">
        <v>11</v>
      </c>
      <c r="F943" s="1" t="s">
        <v>12</v>
      </c>
      <c r="G943" s="1">
        <v>9549.5650999999998</v>
      </c>
      <c r="H943" t="str">
        <f t="shared" si="14"/>
        <v>50-59</v>
      </c>
    </row>
    <row r="944" spans="1:8" ht="15.75" customHeight="1">
      <c r="A944" s="1">
        <v>18</v>
      </c>
      <c r="B944" s="1" t="s">
        <v>7</v>
      </c>
      <c r="C944" s="1">
        <v>40.185000000000002</v>
      </c>
      <c r="D944" s="1">
        <v>0</v>
      </c>
      <c r="E944" s="1" t="s">
        <v>11</v>
      </c>
      <c r="F944" s="1" t="s">
        <v>14</v>
      </c>
      <c r="G944" s="1">
        <v>2217.4691499999999</v>
      </c>
      <c r="H944" t="str">
        <f t="shared" si="14"/>
        <v>18-29</v>
      </c>
    </row>
    <row r="945" spans="1:8" ht="15.75" customHeight="1">
      <c r="A945" s="1">
        <v>19</v>
      </c>
      <c r="B945" s="1" t="s">
        <v>10</v>
      </c>
      <c r="C945" s="1">
        <v>22.61</v>
      </c>
      <c r="D945" s="1">
        <v>0</v>
      </c>
      <c r="E945" s="1" t="s">
        <v>11</v>
      </c>
      <c r="F945" s="1" t="s">
        <v>13</v>
      </c>
      <c r="G945" s="1">
        <v>1628.4709</v>
      </c>
      <c r="H945" t="str">
        <f t="shared" si="14"/>
        <v>18-29</v>
      </c>
    </row>
    <row r="946" spans="1:8" ht="15.75" customHeight="1">
      <c r="A946" s="1">
        <v>62</v>
      </c>
      <c r="B946" s="1" t="s">
        <v>10</v>
      </c>
      <c r="C946" s="1">
        <v>39.93</v>
      </c>
      <c r="D946" s="1">
        <v>0</v>
      </c>
      <c r="E946" s="1" t="s">
        <v>11</v>
      </c>
      <c r="F946" s="1" t="s">
        <v>12</v>
      </c>
      <c r="G946" s="1">
        <v>12982.8747</v>
      </c>
      <c r="H946" t="str">
        <f t="shared" si="14"/>
        <v>60+</v>
      </c>
    </row>
    <row r="947" spans="1:8" ht="15.75" customHeight="1">
      <c r="A947" s="1">
        <v>56</v>
      </c>
      <c r="B947" s="1" t="s">
        <v>7</v>
      </c>
      <c r="C947" s="1">
        <v>35.799999999999997</v>
      </c>
      <c r="D947" s="1">
        <v>1</v>
      </c>
      <c r="E947" s="1" t="s">
        <v>11</v>
      </c>
      <c r="F947" s="1" t="s">
        <v>9</v>
      </c>
      <c r="G947" s="1">
        <v>11674.13</v>
      </c>
      <c r="H947" t="str">
        <f t="shared" si="14"/>
        <v>50-59</v>
      </c>
    </row>
    <row r="948" spans="1:8" ht="15.75" customHeight="1">
      <c r="A948" s="1">
        <v>42</v>
      </c>
      <c r="B948" s="1" t="s">
        <v>10</v>
      </c>
      <c r="C948" s="1">
        <v>35.799999999999997</v>
      </c>
      <c r="D948" s="1">
        <v>2</v>
      </c>
      <c r="E948" s="1" t="s">
        <v>11</v>
      </c>
      <c r="F948" s="1" t="s">
        <v>9</v>
      </c>
      <c r="G948" s="1">
        <v>7160.0940000000001</v>
      </c>
      <c r="H948" t="str">
        <f t="shared" si="14"/>
        <v>40-49</v>
      </c>
    </row>
    <row r="949" spans="1:8" ht="15.75" customHeight="1">
      <c r="A949" s="1">
        <v>37</v>
      </c>
      <c r="B949" s="1" t="s">
        <v>10</v>
      </c>
      <c r="C949" s="1">
        <v>34.200000000000003</v>
      </c>
      <c r="D949" s="1">
        <v>1</v>
      </c>
      <c r="E949" s="1" t="s">
        <v>8</v>
      </c>
      <c r="F949" s="1" t="s">
        <v>14</v>
      </c>
      <c r="G949" s="1">
        <v>39047.285000000003</v>
      </c>
      <c r="H949" t="str">
        <f t="shared" si="14"/>
        <v>30-39</v>
      </c>
    </row>
    <row r="950" spans="1:8" ht="15.75" customHeight="1">
      <c r="A950" s="1">
        <v>42</v>
      </c>
      <c r="B950" s="1" t="s">
        <v>10</v>
      </c>
      <c r="C950" s="1">
        <v>31.254999999999999</v>
      </c>
      <c r="D950" s="1">
        <v>0</v>
      </c>
      <c r="E950" s="1" t="s">
        <v>11</v>
      </c>
      <c r="F950" s="1" t="s">
        <v>13</v>
      </c>
      <c r="G950" s="1">
        <v>6358.7764500000003</v>
      </c>
      <c r="H950" t="str">
        <f t="shared" si="14"/>
        <v>40-49</v>
      </c>
    </row>
    <row r="951" spans="1:8" ht="15.75" customHeight="1">
      <c r="A951" s="1">
        <v>25</v>
      </c>
      <c r="B951" s="1" t="s">
        <v>10</v>
      </c>
      <c r="C951" s="1">
        <v>29.7</v>
      </c>
      <c r="D951" s="1">
        <v>3</v>
      </c>
      <c r="E951" s="1" t="s">
        <v>8</v>
      </c>
      <c r="F951" s="1" t="s">
        <v>9</v>
      </c>
      <c r="G951" s="1">
        <v>19933.457999999999</v>
      </c>
      <c r="H951" t="str">
        <f t="shared" si="14"/>
        <v>18-29</v>
      </c>
    </row>
    <row r="952" spans="1:8" ht="15.75" customHeight="1">
      <c r="A952" s="1">
        <v>57</v>
      </c>
      <c r="B952" s="1" t="s">
        <v>10</v>
      </c>
      <c r="C952" s="1">
        <v>18.335000000000001</v>
      </c>
      <c r="D952" s="1">
        <v>0</v>
      </c>
      <c r="E952" s="1" t="s">
        <v>11</v>
      </c>
      <c r="F952" s="1" t="s">
        <v>14</v>
      </c>
      <c r="G952" s="1">
        <v>11534.872649999999</v>
      </c>
      <c r="H952" t="str">
        <f t="shared" si="14"/>
        <v>50-59</v>
      </c>
    </row>
    <row r="953" spans="1:8" ht="15.75" customHeight="1">
      <c r="A953" s="1">
        <v>51</v>
      </c>
      <c r="B953" s="1" t="s">
        <v>10</v>
      </c>
      <c r="C953" s="1">
        <v>42.9</v>
      </c>
      <c r="D953" s="1">
        <v>2</v>
      </c>
      <c r="E953" s="1" t="s">
        <v>8</v>
      </c>
      <c r="F953" s="1" t="s">
        <v>12</v>
      </c>
      <c r="G953" s="1">
        <v>47462.894</v>
      </c>
      <c r="H953" t="str">
        <f t="shared" si="14"/>
        <v>50-59</v>
      </c>
    </row>
    <row r="954" spans="1:8" ht="15.75" customHeight="1">
      <c r="A954" s="1">
        <v>30</v>
      </c>
      <c r="B954" s="1" t="s">
        <v>7</v>
      </c>
      <c r="C954" s="1">
        <v>28.405000000000001</v>
      </c>
      <c r="D954" s="1">
        <v>1</v>
      </c>
      <c r="E954" s="1" t="s">
        <v>11</v>
      </c>
      <c r="F954" s="1" t="s">
        <v>13</v>
      </c>
      <c r="G954" s="1">
        <v>4527.1829500000003</v>
      </c>
      <c r="H954" t="str">
        <f t="shared" si="14"/>
        <v>30-39</v>
      </c>
    </row>
    <row r="955" spans="1:8" ht="15.75" customHeight="1">
      <c r="A955" s="1">
        <v>44</v>
      </c>
      <c r="B955" s="1" t="s">
        <v>10</v>
      </c>
      <c r="C955" s="1">
        <v>30.2</v>
      </c>
      <c r="D955" s="1">
        <v>2</v>
      </c>
      <c r="E955" s="1" t="s">
        <v>8</v>
      </c>
      <c r="F955" s="1" t="s">
        <v>9</v>
      </c>
      <c r="G955" s="1">
        <v>38998.546000000002</v>
      </c>
      <c r="H955" t="str">
        <f t="shared" si="14"/>
        <v>40-49</v>
      </c>
    </row>
    <row r="956" spans="1:8" ht="15.75" customHeight="1">
      <c r="A956" s="1">
        <v>34</v>
      </c>
      <c r="B956" s="1" t="s">
        <v>10</v>
      </c>
      <c r="C956" s="1">
        <v>27.835000000000001</v>
      </c>
      <c r="D956" s="1">
        <v>1</v>
      </c>
      <c r="E956" s="1" t="s">
        <v>8</v>
      </c>
      <c r="F956" s="1" t="s">
        <v>13</v>
      </c>
      <c r="G956" s="1">
        <v>20009.63365</v>
      </c>
      <c r="H956" t="str">
        <f t="shared" si="14"/>
        <v>30-39</v>
      </c>
    </row>
    <row r="957" spans="1:8" ht="15.75" customHeight="1">
      <c r="A957" s="1">
        <v>31</v>
      </c>
      <c r="B957" s="1" t="s">
        <v>10</v>
      </c>
      <c r="C957" s="1">
        <v>39.49</v>
      </c>
      <c r="D957" s="1">
        <v>1</v>
      </c>
      <c r="E957" s="1" t="s">
        <v>11</v>
      </c>
      <c r="F957" s="1" t="s">
        <v>12</v>
      </c>
      <c r="G957" s="1">
        <v>3875.7341000000001</v>
      </c>
      <c r="H957" t="str">
        <f t="shared" si="14"/>
        <v>30-39</v>
      </c>
    </row>
    <row r="958" spans="1:8" ht="15.75" customHeight="1">
      <c r="A958" s="1">
        <v>54</v>
      </c>
      <c r="B958" s="1" t="s">
        <v>10</v>
      </c>
      <c r="C958" s="1">
        <v>30.8</v>
      </c>
      <c r="D958" s="1">
        <v>1</v>
      </c>
      <c r="E958" s="1" t="s">
        <v>8</v>
      </c>
      <c r="F958" s="1" t="s">
        <v>12</v>
      </c>
      <c r="G958" s="1">
        <v>41999.519999999997</v>
      </c>
      <c r="H958" t="str">
        <f t="shared" si="14"/>
        <v>50-59</v>
      </c>
    </row>
    <row r="959" spans="1:8" ht="15.75" customHeight="1">
      <c r="A959" s="1">
        <v>24</v>
      </c>
      <c r="B959" s="1" t="s">
        <v>10</v>
      </c>
      <c r="C959" s="1">
        <v>26.79</v>
      </c>
      <c r="D959" s="1">
        <v>1</v>
      </c>
      <c r="E959" s="1" t="s">
        <v>11</v>
      </c>
      <c r="F959" s="1" t="s">
        <v>13</v>
      </c>
      <c r="G959" s="1">
        <v>12609.88702</v>
      </c>
      <c r="H959" t="str">
        <f t="shared" si="14"/>
        <v>18-29</v>
      </c>
    </row>
    <row r="960" spans="1:8" ht="15.75" customHeight="1">
      <c r="A960" s="1">
        <v>43</v>
      </c>
      <c r="B960" s="1" t="s">
        <v>10</v>
      </c>
      <c r="C960" s="1">
        <v>34.96</v>
      </c>
      <c r="D960" s="1">
        <v>1</v>
      </c>
      <c r="E960" s="1" t="s">
        <v>8</v>
      </c>
      <c r="F960" s="1" t="s">
        <v>14</v>
      </c>
      <c r="G960" s="1">
        <v>41034.221400000002</v>
      </c>
      <c r="H960" t="str">
        <f t="shared" si="14"/>
        <v>40-49</v>
      </c>
    </row>
    <row r="961" spans="1:8" ht="15.75" customHeight="1">
      <c r="A961" s="1">
        <v>48</v>
      </c>
      <c r="B961" s="1" t="s">
        <v>10</v>
      </c>
      <c r="C961" s="1">
        <v>36.67</v>
      </c>
      <c r="D961" s="1">
        <v>1</v>
      </c>
      <c r="E961" s="1" t="s">
        <v>11</v>
      </c>
      <c r="F961" s="1" t="s">
        <v>13</v>
      </c>
      <c r="G961" s="1">
        <v>28468.919010000001</v>
      </c>
      <c r="H961" t="str">
        <f t="shared" si="14"/>
        <v>40-49</v>
      </c>
    </row>
    <row r="962" spans="1:8" ht="15.75" customHeight="1">
      <c r="A962" s="1">
        <v>19</v>
      </c>
      <c r="B962" s="1" t="s">
        <v>7</v>
      </c>
      <c r="C962" s="1">
        <v>39.615000000000002</v>
      </c>
      <c r="D962" s="1">
        <v>1</v>
      </c>
      <c r="E962" s="1" t="s">
        <v>11</v>
      </c>
      <c r="F962" s="1" t="s">
        <v>13</v>
      </c>
      <c r="G962" s="1">
        <v>2730.1078499999999</v>
      </c>
      <c r="H962" t="str">
        <f t="shared" si="14"/>
        <v>18-29</v>
      </c>
    </row>
    <row r="963" spans="1:8" ht="15.75" customHeight="1">
      <c r="A963" s="1">
        <v>29</v>
      </c>
      <c r="B963" s="1" t="s">
        <v>7</v>
      </c>
      <c r="C963" s="1">
        <v>25.9</v>
      </c>
      <c r="D963" s="1">
        <v>0</v>
      </c>
      <c r="E963" s="1" t="s">
        <v>11</v>
      </c>
      <c r="F963" s="1" t="s">
        <v>9</v>
      </c>
      <c r="G963" s="1">
        <v>3353.2840000000001</v>
      </c>
      <c r="H963" t="str">
        <f t="shared" ref="H963:H1026" si="15">IF(A963&lt;30,"18-29",IF(A963&lt;40,"30-39",IF(A963&lt;50,"40-49",IF(A963&lt;60,"50-59","60+"))))</f>
        <v>18-29</v>
      </c>
    </row>
    <row r="964" spans="1:8" ht="15.75" customHeight="1">
      <c r="A964" s="1">
        <v>63</v>
      </c>
      <c r="B964" s="1" t="s">
        <v>7</v>
      </c>
      <c r="C964" s="1">
        <v>35.200000000000003</v>
      </c>
      <c r="D964" s="1">
        <v>1</v>
      </c>
      <c r="E964" s="1" t="s">
        <v>11</v>
      </c>
      <c r="F964" s="1" t="s">
        <v>12</v>
      </c>
      <c r="G964" s="1">
        <v>14474.674999999999</v>
      </c>
      <c r="H964" t="str">
        <f t="shared" si="15"/>
        <v>60+</v>
      </c>
    </row>
    <row r="965" spans="1:8" ht="15.75" customHeight="1">
      <c r="A965" s="1">
        <v>46</v>
      </c>
      <c r="B965" s="1" t="s">
        <v>10</v>
      </c>
      <c r="C965" s="1">
        <v>24.795000000000002</v>
      </c>
      <c r="D965" s="1">
        <v>3</v>
      </c>
      <c r="E965" s="1" t="s">
        <v>11</v>
      </c>
      <c r="F965" s="1" t="s">
        <v>14</v>
      </c>
      <c r="G965" s="1">
        <v>9500.5730500000009</v>
      </c>
      <c r="H965" t="str">
        <f t="shared" si="15"/>
        <v>40-49</v>
      </c>
    </row>
    <row r="966" spans="1:8" ht="15.75" customHeight="1">
      <c r="A966" s="1">
        <v>52</v>
      </c>
      <c r="B966" s="1" t="s">
        <v>10</v>
      </c>
      <c r="C966" s="1">
        <v>36.765000000000001</v>
      </c>
      <c r="D966" s="1">
        <v>2</v>
      </c>
      <c r="E966" s="1" t="s">
        <v>11</v>
      </c>
      <c r="F966" s="1" t="s">
        <v>13</v>
      </c>
      <c r="G966" s="1">
        <v>26467.09737</v>
      </c>
      <c r="H966" t="str">
        <f t="shared" si="15"/>
        <v>50-59</v>
      </c>
    </row>
    <row r="967" spans="1:8" ht="15.75" customHeight="1">
      <c r="A967" s="1">
        <v>35</v>
      </c>
      <c r="B967" s="1" t="s">
        <v>10</v>
      </c>
      <c r="C967" s="1">
        <v>27.1</v>
      </c>
      <c r="D967" s="1">
        <v>1</v>
      </c>
      <c r="E967" s="1" t="s">
        <v>11</v>
      </c>
      <c r="F967" s="1" t="s">
        <v>9</v>
      </c>
      <c r="G967" s="1">
        <v>4746.3440000000001</v>
      </c>
      <c r="H967" t="str">
        <f t="shared" si="15"/>
        <v>30-39</v>
      </c>
    </row>
    <row r="968" spans="1:8" ht="15.75" customHeight="1">
      <c r="A968" s="1">
        <v>51</v>
      </c>
      <c r="B968" s="1" t="s">
        <v>10</v>
      </c>
      <c r="C968" s="1">
        <v>24.795000000000002</v>
      </c>
      <c r="D968" s="1">
        <v>2</v>
      </c>
      <c r="E968" s="1" t="s">
        <v>8</v>
      </c>
      <c r="F968" s="1" t="s">
        <v>13</v>
      </c>
      <c r="G968" s="1">
        <v>23967.38305</v>
      </c>
      <c r="H968" t="str">
        <f t="shared" si="15"/>
        <v>50-59</v>
      </c>
    </row>
    <row r="969" spans="1:8" ht="15.75" customHeight="1">
      <c r="A969" s="1">
        <v>44</v>
      </c>
      <c r="B969" s="1" t="s">
        <v>10</v>
      </c>
      <c r="C969" s="1">
        <v>25.364999999999998</v>
      </c>
      <c r="D969" s="1">
        <v>1</v>
      </c>
      <c r="E969" s="1" t="s">
        <v>11</v>
      </c>
      <c r="F969" s="1" t="s">
        <v>13</v>
      </c>
      <c r="G969" s="1">
        <v>7518.0253499999999</v>
      </c>
      <c r="H969" t="str">
        <f t="shared" si="15"/>
        <v>40-49</v>
      </c>
    </row>
    <row r="970" spans="1:8" ht="15.75" customHeight="1">
      <c r="A970" s="1">
        <v>21</v>
      </c>
      <c r="B970" s="1" t="s">
        <v>10</v>
      </c>
      <c r="C970" s="1">
        <v>25.745000000000001</v>
      </c>
      <c r="D970" s="1">
        <v>2</v>
      </c>
      <c r="E970" s="1" t="s">
        <v>11</v>
      </c>
      <c r="F970" s="1" t="s">
        <v>14</v>
      </c>
      <c r="G970" s="1">
        <v>3279.8685500000001</v>
      </c>
      <c r="H970" t="str">
        <f t="shared" si="15"/>
        <v>18-29</v>
      </c>
    </row>
    <row r="971" spans="1:8" ht="15.75" customHeight="1">
      <c r="A971" s="1">
        <v>39</v>
      </c>
      <c r="B971" s="1" t="s">
        <v>7</v>
      </c>
      <c r="C971" s="1">
        <v>34.32</v>
      </c>
      <c r="D971" s="1">
        <v>5</v>
      </c>
      <c r="E971" s="1" t="s">
        <v>11</v>
      </c>
      <c r="F971" s="1" t="s">
        <v>12</v>
      </c>
      <c r="G971" s="1">
        <v>8596.8277999999991</v>
      </c>
      <c r="H971" t="str">
        <f t="shared" si="15"/>
        <v>30-39</v>
      </c>
    </row>
    <row r="972" spans="1:8" ht="15.75" customHeight="1">
      <c r="A972" s="1">
        <v>50</v>
      </c>
      <c r="B972" s="1" t="s">
        <v>7</v>
      </c>
      <c r="C972" s="1">
        <v>28.16</v>
      </c>
      <c r="D972" s="1">
        <v>3</v>
      </c>
      <c r="E972" s="1" t="s">
        <v>11</v>
      </c>
      <c r="F972" s="1" t="s">
        <v>12</v>
      </c>
      <c r="G972" s="1">
        <v>10702.642400000001</v>
      </c>
      <c r="H972" t="str">
        <f t="shared" si="15"/>
        <v>50-59</v>
      </c>
    </row>
    <row r="973" spans="1:8" ht="15.75" customHeight="1">
      <c r="A973" s="1">
        <v>34</v>
      </c>
      <c r="B973" s="1" t="s">
        <v>7</v>
      </c>
      <c r="C973" s="1">
        <v>23.56</v>
      </c>
      <c r="D973" s="1">
        <v>0</v>
      </c>
      <c r="E973" s="1" t="s">
        <v>11</v>
      </c>
      <c r="F973" s="1" t="s">
        <v>14</v>
      </c>
      <c r="G973" s="1">
        <v>4992.3764000000001</v>
      </c>
      <c r="H973" t="str">
        <f t="shared" si="15"/>
        <v>30-39</v>
      </c>
    </row>
    <row r="974" spans="1:8" ht="15.75" customHeight="1">
      <c r="A974" s="1">
        <v>22</v>
      </c>
      <c r="B974" s="1" t="s">
        <v>7</v>
      </c>
      <c r="C974" s="1">
        <v>20.234999999999999</v>
      </c>
      <c r="D974" s="1">
        <v>0</v>
      </c>
      <c r="E974" s="1" t="s">
        <v>11</v>
      </c>
      <c r="F974" s="1" t="s">
        <v>13</v>
      </c>
      <c r="G974" s="1">
        <v>2527.8186500000002</v>
      </c>
      <c r="H974" t="str">
        <f t="shared" si="15"/>
        <v>18-29</v>
      </c>
    </row>
    <row r="975" spans="1:8" ht="15.75" customHeight="1">
      <c r="A975" s="1">
        <v>19</v>
      </c>
      <c r="B975" s="1" t="s">
        <v>7</v>
      </c>
      <c r="C975" s="1">
        <v>40.5</v>
      </c>
      <c r="D975" s="1">
        <v>0</v>
      </c>
      <c r="E975" s="1" t="s">
        <v>11</v>
      </c>
      <c r="F975" s="1" t="s">
        <v>9</v>
      </c>
      <c r="G975" s="1">
        <v>1759.338</v>
      </c>
      <c r="H975" t="str">
        <f t="shared" si="15"/>
        <v>18-29</v>
      </c>
    </row>
    <row r="976" spans="1:8" ht="15.75" customHeight="1">
      <c r="A976" s="1">
        <v>26</v>
      </c>
      <c r="B976" s="1" t="s">
        <v>10</v>
      </c>
      <c r="C976" s="1">
        <v>35.42</v>
      </c>
      <c r="D976" s="1">
        <v>0</v>
      </c>
      <c r="E976" s="1" t="s">
        <v>11</v>
      </c>
      <c r="F976" s="1" t="s">
        <v>12</v>
      </c>
      <c r="G976" s="1">
        <v>2322.6217999999999</v>
      </c>
      <c r="H976" t="str">
        <f t="shared" si="15"/>
        <v>18-29</v>
      </c>
    </row>
    <row r="977" spans="1:8" ht="15.75" customHeight="1">
      <c r="A977" s="1">
        <v>29</v>
      </c>
      <c r="B977" s="1" t="s">
        <v>10</v>
      </c>
      <c r="C977" s="1">
        <v>22.895</v>
      </c>
      <c r="D977" s="1">
        <v>0</v>
      </c>
      <c r="E977" s="1" t="s">
        <v>8</v>
      </c>
      <c r="F977" s="1" t="s">
        <v>14</v>
      </c>
      <c r="G977" s="1">
        <v>16138.762049999999</v>
      </c>
      <c r="H977" t="str">
        <f t="shared" si="15"/>
        <v>18-29</v>
      </c>
    </row>
    <row r="978" spans="1:8" ht="15.75" customHeight="1">
      <c r="A978" s="1">
        <v>48</v>
      </c>
      <c r="B978" s="1" t="s">
        <v>10</v>
      </c>
      <c r="C978" s="1">
        <v>40.15</v>
      </c>
      <c r="D978" s="1">
        <v>0</v>
      </c>
      <c r="E978" s="1" t="s">
        <v>11</v>
      </c>
      <c r="F978" s="1" t="s">
        <v>12</v>
      </c>
      <c r="G978" s="1">
        <v>7804.1605</v>
      </c>
      <c r="H978" t="str">
        <f t="shared" si="15"/>
        <v>40-49</v>
      </c>
    </row>
    <row r="979" spans="1:8" ht="15.75" customHeight="1">
      <c r="A979" s="1">
        <v>26</v>
      </c>
      <c r="B979" s="1" t="s">
        <v>10</v>
      </c>
      <c r="C979" s="1">
        <v>29.15</v>
      </c>
      <c r="D979" s="1">
        <v>1</v>
      </c>
      <c r="E979" s="1" t="s">
        <v>11</v>
      </c>
      <c r="F979" s="1" t="s">
        <v>12</v>
      </c>
      <c r="G979" s="1">
        <v>2902.9065000000001</v>
      </c>
      <c r="H979" t="str">
        <f t="shared" si="15"/>
        <v>18-29</v>
      </c>
    </row>
    <row r="980" spans="1:8" ht="15.75" customHeight="1">
      <c r="A980" s="1">
        <v>45</v>
      </c>
      <c r="B980" s="1" t="s">
        <v>7</v>
      </c>
      <c r="C980" s="1">
        <v>39.994999999999997</v>
      </c>
      <c r="D980" s="1">
        <v>3</v>
      </c>
      <c r="E980" s="1" t="s">
        <v>11</v>
      </c>
      <c r="F980" s="1" t="s">
        <v>14</v>
      </c>
      <c r="G980" s="1">
        <v>9704.6680500000002</v>
      </c>
      <c r="H980" t="str">
        <f t="shared" si="15"/>
        <v>40-49</v>
      </c>
    </row>
    <row r="981" spans="1:8" ht="15.75" customHeight="1">
      <c r="A981" s="1">
        <v>36</v>
      </c>
      <c r="B981" s="1" t="s">
        <v>7</v>
      </c>
      <c r="C981" s="1">
        <v>29.92</v>
      </c>
      <c r="D981" s="1">
        <v>0</v>
      </c>
      <c r="E981" s="1" t="s">
        <v>11</v>
      </c>
      <c r="F981" s="1" t="s">
        <v>12</v>
      </c>
      <c r="G981" s="1">
        <v>4889.0367999999999</v>
      </c>
      <c r="H981" t="str">
        <f t="shared" si="15"/>
        <v>30-39</v>
      </c>
    </row>
    <row r="982" spans="1:8" ht="15.75" customHeight="1">
      <c r="A982" s="1">
        <v>54</v>
      </c>
      <c r="B982" s="1" t="s">
        <v>10</v>
      </c>
      <c r="C982" s="1">
        <v>25.46</v>
      </c>
      <c r="D982" s="1">
        <v>1</v>
      </c>
      <c r="E982" s="1" t="s">
        <v>11</v>
      </c>
      <c r="F982" s="1" t="s">
        <v>14</v>
      </c>
      <c r="G982" s="1">
        <v>25517.11363</v>
      </c>
      <c r="H982" t="str">
        <f t="shared" si="15"/>
        <v>50-59</v>
      </c>
    </row>
    <row r="983" spans="1:8" ht="15.75" customHeight="1">
      <c r="A983" s="1">
        <v>34</v>
      </c>
      <c r="B983" s="1" t="s">
        <v>10</v>
      </c>
      <c r="C983" s="1">
        <v>21.375</v>
      </c>
      <c r="D983" s="1">
        <v>0</v>
      </c>
      <c r="E983" s="1" t="s">
        <v>11</v>
      </c>
      <c r="F983" s="1" t="s">
        <v>14</v>
      </c>
      <c r="G983" s="1">
        <v>4500.33925</v>
      </c>
      <c r="H983" t="str">
        <f t="shared" si="15"/>
        <v>30-39</v>
      </c>
    </row>
    <row r="984" spans="1:8" ht="15.75" customHeight="1">
      <c r="A984" s="1">
        <v>31</v>
      </c>
      <c r="B984" s="1" t="s">
        <v>10</v>
      </c>
      <c r="C984" s="1">
        <v>25.9</v>
      </c>
      <c r="D984" s="1">
        <v>3</v>
      </c>
      <c r="E984" s="1" t="s">
        <v>8</v>
      </c>
      <c r="F984" s="1" t="s">
        <v>9</v>
      </c>
      <c r="G984" s="1">
        <v>19199.944</v>
      </c>
      <c r="H984" t="str">
        <f t="shared" si="15"/>
        <v>30-39</v>
      </c>
    </row>
    <row r="985" spans="1:8" ht="15.75" customHeight="1">
      <c r="A985" s="1">
        <v>27</v>
      </c>
      <c r="B985" s="1" t="s">
        <v>7</v>
      </c>
      <c r="C985" s="1">
        <v>30.59</v>
      </c>
      <c r="D985" s="1">
        <v>1</v>
      </c>
      <c r="E985" s="1" t="s">
        <v>11</v>
      </c>
      <c r="F985" s="1" t="s">
        <v>14</v>
      </c>
      <c r="G985" s="1">
        <v>16796.411940000002</v>
      </c>
      <c r="H985" t="str">
        <f t="shared" si="15"/>
        <v>18-29</v>
      </c>
    </row>
    <row r="986" spans="1:8" ht="15.75" customHeight="1">
      <c r="A986" s="1">
        <v>20</v>
      </c>
      <c r="B986" s="1" t="s">
        <v>10</v>
      </c>
      <c r="C986" s="1">
        <v>30.114999999999998</v>
      </c>
      <c r="D986" s="1">
        <v>5</v>
      </c>
      <c r="E986" s="1" t="s">
        <v>11</v>
      </c>
      <c r="F986" s="1" t="s">
        <v>14</v>
      </c>
      <c r="G986" s="1">
        <v>4915.0598499999996</v>
      </c>
      <c r="H986" t="str">
        <f t="shared" si="15"/>
        <v>18-29</v>
      </c>
    </row>
    <row r="987" spans="1:8" ht="15.75" customHeight="1">
      <c r="A987" s="1">
        <v>44</v>
      </c>
      <c r="B987" s="1" t="s">
        <v>7</v>
      </c>
      <c r="C987" s="1">
        <v>25.8</v>
      </c>
      <c r="D987" s="1">
        <v>1</v>
      </c>
      <c r="E987" s="1" t="s">
        <v>11</v>
      </c>
      <c r="F987" s="1" t="s">
        <v>9</v>
      </c>
      <c r="G987" s="1">
        <v>7624.63</v>
      </c>
      <c r="H987" t="str">
        <f t="shared" si="15"/>
        <v>40-49</v>
      </c>
    </row>
    <row r="988" spans="1:8" ht="15.75" customHeight="1">
      <c r="A988" s="1">
        <v>43</v>
      </c>
      <c r="B988" s="1" t="s">
        <v>10</v>
      </c>
      <c r="C988" s="1">
        <v>30.114999999999998</v>
      </c>
      <c r="D988" s="1">
        <v>3</v>
      </c>
      <c r="E988" s="1" t="s">
        <v>11</v>
      </c>
      <c r="F988" s="1" t="s">
        <v>13</v>
      </c>
      <c r="G988" s="1">
        <v>8410.0468500000006</v>
      </c>
      <c r="H988" t="str">
        <f t="shared" si="15"/>
        <v>40-49</v>
      </c>
    </row>
    <row r="989" spans="1:8" ht="15.75" customHeight="1">
      <c r="A989" s="1">
        <v>45</v>
      </c>
      <c r="B989" s="1" t="s">
        <v>7</v>
      </c>
      <c r="C989" s="1">
        <v>27.645</v>
      </c>
      <c r="D989" s="1">
        <v>1</v>
      </c>
      <c r="E989" s="1" t="s">
        <v>11</v>
      </c>
      <c r="F989" s="1" t="s">
        <v>13</v>
      </c>
      <c r="G989" s="1">
        <v>28340.188849999999</v>
      </c>
      <c r="H989" t="str">
        <f t="shared" si="15"/>
        <v>40-49</v>
      </c>
    </row>
    <row r="990" spans="1:8" ht="15.75" customHeight="1">
      <c r="A990" s="1">
        <v>34</v>
      </c>
      <c r="B990" s="1" t="s">
        <v>10</v>
      </c>
      <c r="C990" s="1">
        <v>34.674999999999997</v>
      </c>
      <c r="D990" s="1">
        <v>0</v>
      </c>
      <c r="E990" s="1" t="s">
        <v>11</v>
      </c>
      <c r="F990" s="1" t="s">
        <v>14</v>
      </c>
      <c r="G990" s="1">
        <v>4518.8262500000001</v>
      </c>
      <c r="H990" t="str">
        <f t="shared" si="15"/>
        <v>30-39</v>
      </c>
    </row>
    <row r="991" spans="1:8" ht="15.75" customHeight="1">
      <c r="A991" s="1">
        <v>24</v>
      </c>
      <c r="B991" s="1" t="s">
        <v>7</v>
      </c>
      <c r="C991" s="1">
        <v>20.52</v>
      </c>
      <c r="D991" s="1">
        <v>0</v>
      </c>
      <c r="E991" s="1" t="s">
        <v>8</v>
      </c>
      <c r="F991" s="1" t="s">
        <v>14</v>
      </c>
      <c r="G991" s="1">
        <v>14571.890799999999</v>
      </c>
      <c r="H991" t="str">
        <f t="shared" si="15"/>
        <v>18-29</v>
      </c>
    </row>
    <row r="992" spans="1:8" ht="15.75" customHeight="1">
      <c r="A992" s="1">
        <v>26</v>
      </c>
      <c r="B992" s="1" t="s">
        <v>7</v>
      </c>
      <c r="C992" s="1">
        <v>19.8</v>
      </c>
      <c r="D992" s="1">
        <v>1</v>
      </c>
      <c r="E992" s="1" t="s">
        <v>11</v>
      </c>
      <c r="F992" s="1" t="s">
        <v>9</v>
      </c>
      <c r="G992" s="1">
        <v>3378.91</v>
      </c>
      <c r="H992" t="str">
        <f t="shared" si="15"/>
        <v>18-29</v>
      </c>
    </row>
    <row r="993" spans="1:8" ht="15.75" customHeight="1">
      <c r="A993" s="1">
        <v>38</v>
      </c>
      <c r="B993" s="1" t="s">
        <v>7</v>
      </c>
      <c r="C993" s="1">
        <v>27.835000000000001</v>
      </c>
      <c r="D993" s="1">
        <v>2</v>
      </c>
      <c r="E993" s="1" t="s">
        <v>11</v>
      </c>
      <c r="F993" s="1" t="s">
        <v>14</v>
      </c>
      <c r="G993" s="1">
        <v>7144.86265</v>
      </c>
      <c r="H993" t="str">
        <f t="shared" si="15"/>
        <v>30-39</v>
      </c>
    </row>
    <row r="994" spans="1:8" ht="15.75" customHeight="1">
      <c r="A994" s="1">
        <v>50</v>
      </c>
      <c r="B994" s="1" t="s">
        <v>7</v>
      </c>
      <c r="C994" s="1">
        <v>31.6</v>
      </c>
      <c r="D994" s="1">
        <v>2</v>
      </c>
      <c r="E994" s="1" t="s">
        <v>11</v>
      </c>
      <c r="F994" s="1" t="s">
        <v>9</v>
      </c>
      <c r="G994" s="1">
        <v>10118.424000000001</v>
      </c>
      <c r="H994" t="str">
        <f t="shared" si="15"/>
        <v>50-59</v>
      </c>
    </row>
    <row r="995" spans="1:8" ht="15.75" customHeight="1">
      <c r="A995" s="1">
        <v>38</v>
      </c>
      <c r="B995" s="1" t="s">
        <v>10</v>
      </c>
      <c r="C995" s="1">
        <v>28.27</v>
      </c>
      <c r="D995" s="1">
        <v>1</v>
      </c>
      <c r="E995" s="1" t="s">
        <v>11</v>
      </c>
      <c r="F995" s="1" t="s">
        <v>12</v>
      </c>
      <c r="G995" s="1">
        <v>5484.4673000000003</v>
      </c>
      <c r="H995" t="str">
        <f t="shared" si="15"/>
        <v>30-39</v>
      </c>
    </row>
    <row r="996" spans="1:8" ht="15.75" customHeight="1">
      <c r="A996" s="1">
        <v>27</v>
      </c>
      <c r="B996" s="1" t="s">
        <v>7</v>
      </c>
      <c r="C996" s="1">
        <v>20.045000000000002</v>
      </c>
      <c r="D996" s="1">
        <v>3</v>
      </c>
      <c r="E996" s="1" t="s">
        <v>8</v>
      </c>
      <c r="F996" s="1" t="s">
        <v>13</v>
      </c>
      <c r="G996" s="1">
        <v>16420.494549999999</v>
      </c>
      <c r="H996" t="str">
        <f t="shared" si="15"/>
        <v>18-29</v>
      </c>
    </row>
    <row r="997" spans="1:8" ht="15.75" customHeight="1">
      <c r="A997" s="1">
        <v>39</v>
      </c>
      <c r="B997" s="1" t="s">
        <v>7</v>
      </c>
      <c r="C997" s="1">
        <v>23.274999999999999</v>
      </c>
      <c r="D997" s="1">
        <v>3</v>
      </c>
      <c r="E997" s="1" t="s">
        <v>11</v>
      </c>
      <c r="F997" s="1" t="s">
        <v>14</v>
      </c>
      <c r="G997" s="1">
        <v>7986.4752500000004</v>
      </c>
      <c r="H997" t="str">
        <f t="shared" si="15"/>
        <v>30-39</v>
      </c>
    </row>
    <row r="998" spans="1:8" ht="15.75" customHeight="1">
      <c r="A998" s="1">
        <v>39</v>
      </c>
      <c r="B998" s="1" t="s">
        <v>7</v>
      </c>
      <c r="C998" s="1">
        <v>34.1</v>
      </c>
      <c r="D998" s="1">
        <v>3</v>
      </c>
      <c r="E998" s="1" t="s">
        <v>11</v>
      </c>
      <c r="F998" s="1" t="s">
        <v>9</v>
      </c>
      <c r="G998" s="1">
        <v>7418.5219999999999</v>
      </c>
      <c r="H998" t="str">
        <f t="shared" si="15"/>
        <v>30-39</v>
      </c>
    </row>
    <row r="999" spans="1:8" ht="15.75" customHeight="1">
      <c r="A999" s="1">
        <v>63</v>
      </c>
      <c r="B999" s="1" t="s">
        <v>7</v>
      </c>
      <c r="C999" s="1">
        <v>36.85</v>
      </c>
      <c r="D999" s="1">
        <v>0</v>
      </c>
      <c r="E999" s="1" t="s">
        <v>11</v>
      </c>
      <c r="F999" s="1" t="s">
        <v>12</v>
      </c>
      <c r="G999" s="1">
        <v>13887.968500000001</v>
      </c>
      <c r="H999" t="str">
        <f t="shared" si="15"/>
        <v>60+</v>
      </c>
    </row>
    <row r="1000" spans="1:8" ht="15.75" customHeight="1">
      <c r="A1000" s="1">
        <v>33</v>
      </c>
      <c r="B1000" s="1" t="s">
        <v>7</v>
      </c>
      <c r="C1000" s="1">
        <v>36.29</v>
      </c>
      <c r="D1000" s="1">
        <v>3</v>
      </c>
      <c r="E1000" s="1" t="s">
        <v>11</v>
      </c>
      <c r="F1000" s="1" t="s">
        <v>14</v>
      </c>
      <c r="G1000" s="1">
        <v>6551.7501000000002</v>
      </c>
      <c r="H1000" t="str">
        <f t="shared" si="15"/>
        <v>30-39</v>
      </c>
    </row>
    <row r="1001" spans="1:8" ht="15.75" customHeight="1">
      <c r="A1001" s="1">
        <v>36</v>
      </c>
      <c r="B1001" s="1" t="s">
        <v>7</v>
      </c>
      <c r="C1001" s="1">
        <v>26.885000000000002</v>
      </c>
      <c r="D1001" s="1">
        <v>0</v>
      </c>
      <c r="E1001" s="1" t="s">
        <v>11</v>
      </c>
      <c r="F1001" s="1" t="s">
        <v>13</v>
      </c>
      <c r="G1001" s="1">
        <v>5267.8181500000001</v>
      </c>
      <c r="H1001" t="str">
        <f t="shared" si="15"/>
        <v>30-39</v>
      </c>
    </row>
    <row r="1002" spans="1:8" ht="15.75" customHeight="1">
      <c r="A1002" s="1">
        <v>30</v>
      </c>
      <c r="B1002" s="1" t="s">
        <v>10</v>
      </c>
      <c r="C1002" s="1">
        <v>22.99</v>
      </c>
      <c r="D1002" s="1">
        <v>2</v>
      </c>
      <c r="E1002" s="1" t="s">
        <v>8</v>
      </c>
      <c r="F1002" s="1" t="s">
        <v>13</v>
      </c>
      <c r="G1002" s="1">
        <v>17361.766100000001</v>
      </c>
      <c r="H1002" t="str">
        <f t="shared" si="15"/>
        <v>30-39</v>
      </c>
    </row>
    <row r="1003" spans="1:8" ht="15.75" customHeight="1">
      <c r="A1003" s="1">
        <v>24</v>
      </c>
      <c r="B1003" s="1" t="s">
        <v>10</v>
      </c>
      <c r="C1003" s="1">
        <v>32.700000000000003</v>
      </c>
      <c r="D1003" s="1">
        <v>0</v>
      </c>
      <c r="E1003" s="1" t="s">
        <v>8</v>
      </c>
      <c r="F1003" s="1" t="s">
        <v>9</v>
      </c>
      <c r="G1003" s="1">
        <v>34472.841</v>
      </c>
      <c r="H1003" t="str">
        <f t="shared" si="15"/>
        <v>18-29</v>
      </c>
    </row>
    <row r="1004" spans="1:8" ht="15.75" customHeight="1">
      <c r="A1004" s="1">
        <v>24</v>
      </c>
      <c r="B1004" s="1" t="s">
        <v>10</v>
      </c>
      <c r="C1004" s="1">
        <v>25.8</v>
      </c>
      <c r="D1004" s="1">
        <v>0</v>
      </c>
      <c r="E1004" s="1" t="s">
        <v>11</v>
      </c>
      <c r="F1004" s="1" t="s">
        <v>9</v>
      </c>
      <c r="G1004" s="1">
        <v>1972.95</v>
      </c>
      <c r="H1004" t="str">
        <f t="shared" si="15"/>
        <v>18-29</v>
      </c>
    </row>
    <row r="1005" spans="1:8" ht="15.75" customHeight="1">
      <c r="A1005" s="1">
        <v>48</v>
      </c>
      <c r="B1005" s="1" t="s">
        <v>10</v>
      </c>
      <c r="C1005" s="1">
        <v>29.6</v>
      </c>
      <c r="D1005" s="1">
        <v>0</v>
      </c>
      <c r="E1005" s="1" t="s">
        <v>11</v>
      </c>
      <c r="F1005" s="1" t="s">
        <v>9</v>
      </c>
      <c r="G1005" s="1">
        <v>21232.182260000001</v>
      </c>
      <c r="H1005" t="str">
        <f t="shared" si="15"/>
        <v>40-49</v>
      </c>
    </row>
    <row r="1006" spans="1:8" ht="15.75" customHeight="1">
      <c r="A1006" s="1">
        <v>47</v>
      </c>
      <c r="B1006" s="1" t="s">
        <v>10</v>
      </c>
      <c r="C1006" s="1">
        <v>19.190000000000001</v>
      </c>
      <c r="D1006" s="1">
        <v>1</v>
      </c>
      <c r="E1006" s="1" t="s">
        <v>11</v>
      </c>
      <c r="F1006" s="1" t="s">
        <v>14</v>
      </c>
      <c r="G1006" s="1">
        <v>8627.5411000000004</v>
      </c>
      <c r="H1006" t="str">
        <f t="shared" si="15"/>
        <v>40-49</v>
      </c>
    </row>
    <row r="1007" spans="1:8" ht="15.75" customHeight="1">
      <c r="A1007" s="1">
        <v>29</v>
      </c>
      <c r="B1007" s="1" t="s">
        <v>10</v>
      </c>
      <c r="C1007" s="1">
        <v>31.73</v>
      </c>
      <c r="D1007" s="1">
        <v>2</v>
      </c>
      <c r="E1007" s="1" t="s">
        <v>11</v>
      </c>
      <c r="F1007" s="1" t="s">
        <v>13</v>
      </c>
      <c r="G1007" s="1">
        <v>4433.3877000000002</v>
      </c>
      <c r="H1007" t="str">
        <f t="shared" si="15"/>
        <v>18-29</v>
      </c>
    </row>
    <row r="1008" spans="1:8" ht="15.75" customHeight="1">
      <c r="A1008" s="1">
        <v>28</v>
      </c>
      <c r="B1008" s="1" t="s">
        <v>10</v>
      </c>
      <c r="C1008" s="1">
        <v>29.26</v>
      </c>
      <c r="D1008" s="1">
        <v>2</v>
      </c>
      <c r="E1008" s="1" t="s">
        <v>11</v>
      </c>
      <c r="F1008" s="1" t="s">
        <v>14</v>
      </c>
      <c r="G1008" s="1">
        <v>4438.2633999999998</v>
      </c>
      <c r="H1008" t="str">
        <f t="shared" si="15"/>
        <v>18-29</v>
      </c>
    </row>
    <row r="1009" spans="1:8" ht="15.75" customHeight="1">
      <c r="A1009" s="1">
        <v>47</v>
      </c>
      <c r="B1009" s="1" t="s">
        <v>10</v>
      </c>
      <c r="C1009" s="1">
        <v>28.215</v>
      </c>
      <c r="D1009" s="1">
        <v>3</v>
      </c>
      <c r="E1009" s="1" t="s">
        <v>8</v>
      </c>
      <c r="F1009" s="1" t="s">
        <v>13</v>
      </c>
      <c r="G1009" s="1">
        <v>24915.220850000002</v>
      </c>
      <c r="H1009" t="str">
        <f t="shared" si="15"/>
        <v>40-49</v>
      </c>
    </row>
    <row r="1010" spans="1:8" ht="15.75" customHeight="1">
      <c r="A1010" s="1">
        <v>25</v>
      </c>
      <c r="B1010" s="1" t="s">
        <v>10</v>
      </c>
      <c r="C1010" s="1">
        <v>24.984999999999999</v>
      </c>
      <c r="D1010" s="1">
        <v>2</v>
      </c>
      <c r="E1010" s="1" t="s">
        <v>11</v>
      </c>
      <c r="F1010" s="1" t="s">
        <v>14</v>
      </c>
      <c r="G1010" s="1">
        <v>23241.47453</v>
      </c>
      <c r="H1010" t="str">
        <f t="shared" si="15"/>
        <v>18-29</v>
      </c>
    </row>
    <row r="1011" spans="1:8" ht="15.75" customHeight="1">
      <c r="A1011" s="1">
        <v>51</v>
      </c>
      <c r="B1011" s="1" t="s">
        <v>10</v>
      </c>
      <c r="C1011" s="1">
        <v>27.74</v>
      </c>
      <c r="D1011" s="1">
        <v>1</v>
      </c>
      <c r="E1011" s="1" t="s">
        <v>11</v>
      </c>
      <c r="F1011" s="1" t="s">
        <v>14</v>
      </c>
      <c r="G1011" s="1">
        <v>9957.7216000000008</v>
      </c>
      <c r="H1011" t="str">
        <f t="shared" si="15"/>
        <v>50-59</v>
      </c>
    </row>
    <row r="1012" spans="1:8" ht="15.75" customHeight="1">
      <c r="A1012" s="1">
        <v>48</v>
      </c>
      <c r="B1012" s="1" t="s">
        <v>7</v>
      </c>
      <c r="C1012" s="1">
        <v>22.8</v>
      </c>
      <c r="D1012" s="1">
        <v>0</v>
      </c>
      <c r="E1012" s="1" t="s">
        <v>11</v>
      </c>
      <c r="F1012" s="1" t="s">
        <v>9</v>
      </c>
      <c r="G1012" s="1">
        <v>8269.0439999999999</v>
      </c>
      <c r="H1012" t="str">
        <f t="shared" si="15"/>
        <v>40-49</v>
      </c>
    </row>
    <row r="1013" spans="1:8" ht="15.75" customHeight="1">
      <c r="A1013" s="1">
        <v>43</v>
      </c>
      <c r="B1013" s="1" t="s">
        <v>10</v>
      </c>
      <c r="C1013" s="1">
        <v>20.13</v>
      </c>
      <c r="D1013" s="1">
        <v>2</v>
      </c>
      <c r="E1013" s="1" t="s">
        <v>8</v>
      </c>
      <c r="F1013" s="1" t="s">
        <v>12</v>
      </c>
      <c r="G1013" s="1">
        <v>18767.737700000001</v>
      </c>
      <c r="H1013" t="str">
        <f t="shared" si="15"/>
        <v>40-49</v>
      </c>
    </row>
    <row r="1014" spans="1:8" ht="15.75" customHeight="1">
      <c r="A1014" s="1">
        <v>61</v>
      </c>
      <c r="B1014" s="1" t="s">
        <v>7</v>
      </c>
      <c r="C1014" s="1">
        <v>33.33</v>
      </c>
      <c r="D1014" s="1">
        <v>4</v>
      </c>
      <c r="E1014" s="1" t="s">
        <v>11</v>
      </c>
      <c r="F1014" s="1" t="s">
        <v>12</v>
      </c>
      <c r="G1014" s="1">
        <v>36580.282160000002</v>
      </c>
      <c r="H1014" t="str">
        <f t="shared" si="15"/>
        <v>60+</v>
      </c>
    </row>
    <row r="1015" spans="1:8" ht="15.75" customHeight="1">
      <c r="A1015" s="1">
        <v>48</v>
      </c>
      <c r="B1015" s="1" t="s">
        <v>10</v>
      </c>
      <c r="C1015" s="1">
        <v>32.299999999999997</v>
      </c>
      <c r="D1015" s="1">
        <v>1</v>
      </c>
      <c r="E1015" s="1" t="s">
        <v>11</v>
      </c>
      <c r="F1015" s="1" t="s">
        <v>13</v>
      </c>
      <c r="G1015" s="1">
        <v>8765.2489999999998</v>
      </c>
      <c r="H1015" t="str">
        <f t="shared" si="15"/>
        <v>40-49</v>
      </c>
    </row>
    <row r="1016" spans="1:8" ht="15.75" customHeight="1">
      <c r="A1016" s="1">
        <v>38</v>
      </c>
      <c r="B1016" s="1" t="s">
        <v>7</v>
      </c>
      <c r="C1016" s="1">
        <v>27.6</v>
      </c>
      <c r="D1016" s="1">
        <v>0</v>
      </c>
      <c r="E1016" s="1" t="s">
        <v>11</v>
      </c>
      <c r="F1016" s="1" t="s">
        <v>9</v>
      </c>
      <c r="G1016" s="1">
        <v>5383.5360000000001</v>
      </c>
      <c r="H1016" t="str">
        <f t="shared" si="15"/>
        <v>30-39</v>
      </c>
    </row>
    <row r="1017" spans="1:8" ht="15.75" customHeight="1">
      <c r="A1017" s="1">
        <v>59</v>
      </c>
      <c r="B1017" s="1" t="s">
        <v>10</v>
      </c>
      <c r="C1017" s="1">
        <v>25.46</v>
      </c>
      <c r="D1017" s="1">
        <v>0</v>
      </c>
      <c r="E1017" s="1" t="s">
        <v>11</v>
      </c>
      <c r="F1017" s="1" t="s">
        <v>13</v>
      </c>
      <c r="G1017" s="1">
        <v>12124.992399999999</v>
      </c>
      <c r="H1017" t="str">
        <f t="shared" si="15"/>
        <v>50-59</v>
      </c>
    </row>
    <row r="1018" spans="1:8" ht="15.75" customHeight="1">
      <c r="A1018" s="1">
        <v>19</v>
      </c>
      <c r="B1018" s="1" t="s">
        <v>7</v>
      </c>
      <c r="C1018" s="1">
        <v>24.605</v>
      </c>
      <c r="D1018" s="1">
        <v>1</v>
      </c>
      <c r="E1018" s="1" t="s">
        <v>11</v>
      </c>
      <c r="F1018" s="1" t="s">
        <v>13</v>
      </c>
      <c r="G1018" s="1">
        <v>2709.24395</v>
      </c>
      <c r="H1018" t="str">
        <f t="shared" si="15"/>
        <v>18-29</v>
      </c>
    </row>
    <row r="1019" spans="1:8" ht="15.75" customHeight="1">
      <c r="A1019" s="1">
        <v>26</v>
      </c>
      <c r="B1019" s="1" t="s">
        <v>7</v>
      </c>
      <c r="C1019" s="1">
        <v>34.200000000000003</v>
      </c>
      <c r="D1019" s="1">
        <v>2</v>
      </c>
      <c r="E1019" s="1" t="s">
        <v>11</v>
      </c>
      <c r="F1019" s="1" t="s">
        <v>9</v>
      </c>
      <c r="G1019" s="1">
        <v>3987.9259999999999</v>
      </c>
      <c r="H1019" t="str">
        <f t="shared" si="15"/>
        <v>18-29</v>
      </c>
    </row>
    <row r="1020" spans="1:8" ht="15.75" customHeight="1">
      <c r="A1020" s="1">
        <v>54</v>
      </c>
      <c r="B1020" s="1" t="s">
        <v>7</v>
      </c>
      <c r="C1020" s="1">
        <v>35.814999999999998</v>
      </c>
      <c r="D1020" s="1">
        <v>3</v>
      </c>
      <c r="E1020" s="1" t="s">
        <v>11</v>
      </c>
      <c r="F1020" s="1" t="s">
        <v>13</v>
      </c>
      <c r="G1020" s="1">
        <v>12495.290849999999</v>
      </c>
      <c r="H1020" t="str">
        <f t="shared" si="15"/>
        <v>50-59</v>
      </c>
    </row>
    <row r="1021" spans="1:8" ht="15.75" customHeight="1">
      <c r="A1021" s="1">
        <v>21</v>
      </c>
      <c r="B1021" s="1" t="s">
        <v>7</v>
      </c>
      <c r="C1021" s="1">
        <v>32.68</v>
      </c>
      <c r="D1021" s="1">
        <v>2</v>
      </c>
      <c r="E1021" s="1" t="s">
        <v>11</v>
      </c>
      <c r="F1021" s="1" t="s">
        <v>13</v>
      </c>
      <c r="G1021" s="1">
        <v>26018.950519999999</v>
      </c>
      <c r="H1021" t="str">
        <f t="shared" si="15"/>
        <v>18-29</v>
      </c>
    </row>
    <row r="1022" spans="1:8" ht="15.75" customHeight="1">
      <c r="A1022" s="1">
        <v>51</v>
      </c>
      <c r="B1022" s="1" t="s">
        <v>10</v>
      </c>
      <c r="C1022" s="1">
        <v>37</v>
      </c>
      <c r="D1022" s="1">
        <v>0</v>
      </c>
      <c r="E1022" s="1" t="s">
        <v>11</v>
      </c>
      <c r="F1022" s="1" t="s">
        <v>9</v>
      </c>
      <c r="G1022" s="1">
        <v>8798.5930000000008</v>
      </c>
      <c r="H1022" t="str">
        <f t="shared" si="15"/>
        <v>50-59</v>
      </c>
    </row>
    <row r="1023" spans="1:8" ht="15.75" customHeight="1">
      <c r="A1023" s="1">
        <v>22</v>
      </c>
      <c r="B1023" s="1" t="s">
        <v>7</v>
      </c>
      <c r="C1023" s="1">
        <v>31.02</v>
      </c>
      <c r="D1023" s="1">
        <v>3</v>
      </c>
      <c r="E1023" s="1" t="s">
        <v>8</v>
      </c>
      <c r="F1023" s="1" t="s">
        <v>12</v>
      </c>
      <c r="G1023" s="1">
        <v>35595.589800000002</v>
      </c>
      <c r="H1023" t="str">
        <f t="shared" si="15"/>
        <v>18-29</v>
      </c>
    </row>
    <row r="1024" spans="1:8" ht="15.75" customHeight="1">
      <c r="A1024" s="1">
        <v>47</v>
      </c>
      <c r="B1024" s="1" t="s">
        <v>10</v>
      </c>
      <c r="C1024" s="1">
        <v>36.08</v>
      </c>
      <c r="D1024" s="1">
        <v>1</v>
      </c>
      <c r="E1024" s="1" t="s">
        <v>8</v>
      </c>
      <c r="F1024" s="1" t="s">
        <v>12</v>
      </c>
      <c r="G1024" s="1">
        <v>42211.138200000001</v>
      </c>
      <c r="H1024" t="str">
        <f t="shared" si="15"/>
        <v>40-49</v>
      </c>
    </row>
    <row r="1025" spans="1:8" ht="15.75" customHeight="1">
      <c r="A1025" s="1">
        <v>18</v>
      </c>
      <c r="B1025" s="1" t="s">
        <v>10</v>
      </c>
      <c r="C1025" s="1">
        <v>23.32</v>
      </c>
      <c r="D1025" s="1">
        <v>1</v>
      </c>
      <c r="E1025" s="1" t="s">
        <v>11</v>
      </c>
      <c r="F1025" s="1" t="s">
        <v>12</v>
      </c>
      <c r="G1025" s="1">
        <v>1711.0268000000001</v>
      </c>
      <c r="H1025" t="str">
        <f t="shared" si="15"/>
        <v>18-29</v>
      </c>
    </row>
    <row r="1026" spans="1:8" ht="15.75" customHeight="1">
      <c r="A1026" s="1">
        <v>47</v>
      </c>
      <c r="B1026" s="1" t="s">
        <v>7</v>
      </c>
      <c r="C1026" s="1">
        <v>45.32</v>
      </c>
      <c r="D1026" s="1">
        <v>1</v>
      </c>
      <c r="E1026" s="1" t="s">
        <v>11</v>
      </c>
      <c r="F1026" s="1" t="s">
        <v>12</v>
      </c>
      <c r="G1026" s="1">
        <v>8569.8618000000006</v>
      </c>
      <c r="H1026" t="str">
        <f t="shared" si="15"/>
        <v>40-49</v>
      </c>
    </row>
    <row r="1027" spans="1:8" ht="15.75" customHeight="1">
      <c r="A1027" s="1">
        <v>21</v>
      </c>
      <c r="B1027" s="1" t="s">
        <v>7</v>
      </c>
      <c r="C1027" s="1">
        <v>34.6</v>
      </c>
      <c r="D1027" s="1">
        <v>0</v>
      </c>
      <c r="E1027" s="1" t="s">
        <v>11</v>
      </c>
      <c r="F1027" s="1" t="s">
        <v>9</v>
      </c>
      <c r="G1027" s="1">
        <v>2020.1769999999999</v>
      </c>
      <c r="H1027" t="str">
        <f t="shared" ref="H1027:H1090" si="16">IF(A1027&lt;30,"18-29",IF(A1027&lt;40,"30-39",IF(A1027&lt;50,"40-49",IF(A1027&lt;60,"50-59","60+"))))</f>
        <v>18-29</v>
      </c>
    </row>
    <row r="1028" spans="1:8" ht="15.75" customHeight="1">
      <c r="A1028" s="1">
        <v>19</v>
      </c>
      <c r="B1028" s="1" t="s">
        <v>10</v>
      </c>
      <c r="C1028" s="1">
        <v>26.03</v>
      </c>
      <c r="D1028" s="1">
        <v>1</v>
      </c>
      <c r="E1028" s="1" t="s">
        <v>8</v>
      </c>
      <c r="F1028" s="1" t="s">
        <v>13</v>
      </c>
      <c r="G1028" s="1">
        <v>16450.894700000001</v>
      </c>
      <c r="H1028" t="str">
        <f t="shared" si="16"/>
        <v>18-29</v>
      </c>
    </row>
    <row r="1029" spans="1:8" ht="15.75" customHeight="1">
      <c r="A1029" s="1">
        <v>23</v>
      </c>
      <c r="B1029" s="1" t="s">
        <v>10</v>
      </c>
      <c r="C1029" s="1">
        <v>18.715</v>
      </c>
      <c r="D1029" s="1">
        <v>0</v>
      </c>
      <c r="E1029" s="1" t="s">
        <v>11</v>
      </c>
      <c r="F1029" s="1" t="s">
        <v>13</v>
      </c>
      <c r="G1029" s="1">
        <v>21595.382290000001</v>
      </c>
      <c r="H1029" t="str">
        <f t="shared" si="16"/>
        <v>18-29</v>
      </c>
    </row>
    <row r="1030" spans="1:8" ht="15.75" customHeight="1">
      <c r="A1030" s="1">
        <v>54</v>
      </c>
      <c r="B1030" s="1" t="s">
        <v>10</v>
      </c>
      <c r="C1030" s="1">
        <v>31.6</v>
      </c>
      <c r="D1030" s="1">
        <v>0</v>
      </c>
      <c r="E1030" s="1" t="s">
        <v>11</v>
      </c>
      <c r="F1030" s="1" t="s">
        <v>9</v>
      </c>
      <c r="G1030" s="1">
        <v>9850.4320000000007</v>
      </c>
      <c r="H1030" t="str">
        <f t="shared" si="16"/>
        <v>50-59</v>
      </c>
    </row>
    <row r="1031" spans="1:8" ht="15.75" customHeight="1">
      <c r="A1031" s="1">
        <v>37</v>
      </c>
      <c r="B1031" s="1" t="s">
        <v>7</v>
      </c>
      <c r="C1031" s="1">
        <v>17.29</v>
      </c>
      <c r="D1031" s="1">
        <v>2</v>
      </c>
      <c r="E1031" s="1" t="s">
        <v>11</v>
      </c>
      <c r="F1031" s="1" t="s">
        <v>14</v>
      </c>
      <c r="G1031" s="1">
        <v>6877.9800999999998</v>
      </c>
      <c r="H1031" t="str">
        <f t="shared" si="16"/>
        <v>30-39</v>
      </c>
    </row>
    <row r="1032" spans="1:8" ht="15.75" customHeight="1">
      <c r="A1032" s="1">
        <v>46</v>
      </c>
      <c r="B1032" s="1" t="s">
        <v>7</v>
      </c>
      <c r="C1032" s="1">
        <v>23.655000000000001</v>
      </c>
      <c r="D1032" s="1">
        <v>1</v>
      </c>
      <c r="E1032" s="1" t="s">
        <v>8</v>
      </c>
      <c r="F1032" s="1" t="s">
        <v>13</v>
      </c>
      <c r="G1032" s="1">
        <v>21677.283449999999</v>
      </c>
      <c r="H1032" t="str">
        <f t="shared" si="16"/>
        <v>40-49</v>
      </c>
    </row>
    <row r="1033" spans="1:8" ht="15.75" customHeight="1">
      <c r="A1033" s="1">
        <v>55</v>
      </c>
      <c r="B1033" s="1" t="s">
        <v>7</v>
      </c>
      <c r="C1033" s="1">
        <v>35.200000000000003</v>
      </c>
      <c r="D1033" s="1">
        <v>0</v>
      </c>
      <c r="E1033" s="1" t="s">
        <v>8</v>
      </c>
      <c r="F1033" s="1" t="s">
        <v>12</v>
      </c>
      <c r="G1033" s="1">
        <v>44423.803</v>
      </c>
      <c r="H1033" t="str">
        <f t="shared" si="16"/>
        <v>50-59</v>
      </c>
    </row>
    <row r="1034" spans="1:8" ht="15.75" customHeight="1">
      <c r="A1034" s="1">
        <v>30</v>
      </c>
      <c r="B1034" s="1" t="s">
        <v>7</v>
      </c>
      <c r="C1034" s="1">
        <v>27.93</v>
      </c>
      <c r="D1034" s="1">
        <v>0</v>
      </c>
      <c r="E1034" s="1" t="s">
        <v>11</v>
      </c>
      <c r="F1034" s="1" t="s">
        <v>14</v>
      </c>
      <c r="G1034" s="1">
        <v>4137.5227000000004</v>
      </c>
      <c r="H1034" t="str">
        <f t="shared" si="16"/>
        <v>30-39</v>
      </c>
    </row>
    <row r="1035" spans="1:8" ht="15.75" customHeight="1">
      <c r="A1035" s="1">
        <v>18</v>
      </c>
      <c r="B1035" s="1" t="s">
        <v>10</v>
      </c>
      <c r="C1035" s="1">
        <v>21.565000000000001</v>
      </c>
      <c r="D1035" s="1">
        <v>0</v>
      </c>
      <c r="E1035" s="1" t="s">
        <v>8</v>
      </c>
      <c r="F1035" s="1" t="s">
        <v>14</v>
      </c>
      <c r="G1035" s="1">
        <v>13747.87235</v>
      </c>
      <c r="H1035" t="str">
        <f t="shared" si="16"/>
        <v>18-29</v>
      </c>
    </row>
    <row r="1036" spans="1:8" ht="15.75" customHeight="1">
      <c r="A1036" s="1">
        <v>61</v>
      </c>
      <c r="B1036" s="1" t="s">
        <v>10</v>
      </c>
      <c r="C1036" s="1">
        <v>38.380000000000003</v>
      </c>
      <c r="D1036" s="1">
        <v>0</v>
      </c>
      <c r="E1036" s="1" t="s">
        <v>11</v>
      </c>
      <c r="F1036" s="1" t="s">
        <v>13</v>
      </c>
      <c r="G1036" s="1">
        <v>12950.0712</v>
      </c>
      <c r="H1036" t="str">
        <f t="shared" si="16"/>
        <v>60+</v>
      </c>
    </row>
    <row r="1037" spans="1:8" ht="15.75" customHeight="1">
      <c r="A1037" s="1">
        <v>54</v>
      </c>
      <c r="B1037" s="1" t="s">
        <v>7</v>
      </c>
      <c r="C1037" s="1">
        <v>23</v>
      </c>
      <c r="D1037" s="1">
        <v>3</v>
      </c>
      <c r="E1037" s="1" t="s">
        <v>11</v>
      </c>
      <c r="F1037" s="1" t="s">
        <v>9</v>
      </c>
      <c r="G1037" s="1">
        <v>12094.477999999999</v>
      </c>
      <c r="H1037" t="str">
        <f t="shared" si="16"/>
        <v>50-59</v>
      </c>
    </row>
    <row r="1038" spans="1:8" ht="15.75" customHeight="1">
      <c r="A1038" s="1">
        <v>22</v>
      </c>
      <c r="B1038" s="1" t="s">
        <v>10</v>
      </c>
      <c r="C1038" s="1">
        <v>37.07</v>
      </c>
      <c r="D1038" s="1">
        <v>2</v>
      </c>
      <c r="E1038" s="1" t="s">
        <v>8</v>
      </c>
      <c r="F1038" s="1" t="s">
        <v>12</v>
      </c>
      <c r="G1038" s="1">
        <v>37484.4493</v>
      </c>
      <c r="H1038" t="str">
        <f t="shared" si="16"/>
        <v>18-29</v>
      </c>
    </row>
    <row r="1039" spans="1:8" ht="15.75" customHeight="1">
      <c r="A1039" s="1">
        <v>45</v>
      </c>
      <c r="B1039" s="1" t="s">
        <v>7</v>
      </c>
      <c r="C1039" s="1">
        <v>30.495000000000001</v>
      </c>
      <c r="D1039" s="1">
        <v>1</v>
      </c>
      <c r="E1039" s="1" t="s">
        <v>8</v>
      </c>
      <c r="F1039" s="1" t="s">
        <v>13</v>
      </c>
      <c r="G1039" s="1">
        <v>39725.518049999999</v>
      </c>
      <c r="H1039" t="str">
        <f t="shared" si="16"/>
        <v>40-49</v>
      </c>
    </row>
    <row r="1040" spans="1:8" ht="15.75" customHeight="1">
      <c r="A1040" s="1">
        <v>22</v>
      </c>
      <c r="B1040" s="1" t="s">
        <v>10</v>
      </c>
      <c r="C1040" s="1">
        <v>28.88</v>
      </c>
      <c r="D1040" s="1">
        <v>0</v>
      </c>
      <c r="E1040" s="1" t="s">
        <v>11</v>
      </c>
      <c r="F1040" s="1" t="s">
        <v>14</v>
      </c>
      <c r="G1040" s="1">
        <v>2250.8352</v>
      </c>
      <c r="H1040" t="str">
        <f t="shared" si="16"/>
        <v>18-29</v>
      </c>
    </row>
    <row r="1041" spans="1:8" ht="15.75" customHeight="1">
      <c r="A1041" s="1">
        <v>19</v>
      </c>
      <c r="B1041" s="1" t="s">
        <v>10</v>
      </c>
      <c r="C1041" s="1">
        <v>27.265000000000001</v>
      </c>
      <c r="D1041" s="1">
        <v>2</v>
      </c>
      <c r="E1041" s="1" t="s">
        <v>11</v>
      </c>
      <c r="F1041" s="1" t="s">
        <v>13</v>
      </c>
      <c r="G1041" s="1">
        <v>22493.659640000002</v>
      </c>
      <c r="H1041" t="str">
        <f t="shared" si="16"/>
        <v>18-29</v>
      </c>
    </row>
    <row r="1042" spans="1:8" ht="15.75" customHeight="1">
      <c r="A1042" s="1">
        <v>35</v>
      </c>
      <c r="B1042" s="1" t="s">
        <v>7</v>
      </c>
      <c r="C1042" s="1">
        <v>28.024999999999999</v>
      </c>
      <c r="D1042" s="1">
        <v>0</v>
      </c>
      <c r="E1042" s="1" t="s">
        <v>8</v>
      </c>
      <c r="F1042" s="1" t="s">
        <v>13</v>
      </c>
      <c r="G1042" s="1">
        <v>20234.854749999999</v>
      </c>
      <c r="H1042" t="str">
        <f t="shared" si="16"/>
        <v>30-39</v>
      </c>
    </row>
    <row r="1043" spans="1:8" ht="15.75" customHeight="1">
      <c r="A1043" s="1">
        <v>18</v>
      </c>
      <c r="B1043" s="1" t="s">
        <v>10</v>
      </c>
      <c r="C1043" s="1">
        <v>23.085000000000001</v>
      </c>
      <c r="D1043" s="1">
        <v>0</v>
      </c>
      <c r="E1043" s="1" t="s">
        <v>11</v>
      </c>
      <c r="F1043" s="1" t="s">
        <v>14</v>
      </c>
      <c r="G1043" s="1">
        <v>1704.7001499999999</v>
      </c>
      <c r="H1043" t="str">
        <f t="shared" si="16"/>
        <v>18-29</v>
      </c>
    </row>
    <row r="1044" spans="1:8" ht="15.75" customHeight="1">
      <c r="A1044" s="1">
        <v>20</v>
      </c>
      <c r="B1044" s="1" t="s">
        <v>10</v>
      </c>
      <c r="C1044" s="1">
        <v>30.684999999999999</v>
      </c>
      <c r="D1044" s="1">
        <v>0</v>
      </c>
      <c r="E1044" s="1" t="s">
        <v>8</v>
      </c>
      <c r="F1044" s="1" t="s">
        <v>14</v>
      </c>
      <c r="G1044" s="1">
        <v>33475.817150000003</v>
      </c>
      <c r="H1044" t="str">
        <f t="shared" si="16"/>
        <v>18-29</v>
      </c>
    </row>
    <row r="1045" spans="1:8" ht="15.75" customHeight="1">
      <c r="A1045" s="1">
        <v>28</v>
      </c>
      <c r="B1045" s="1" t="s">
        <v>7</v>
      </c>
      <c r="C1045" s="1">
        <v>25.8</v>
      </c>
      <c r="D1045" s="1">
        <v>0</v>
      </c>
      <c r="E1045" s="1" t="s">
        <v>11</v>
      </c>
      <c r="F1045" s="1" t="s">
        <v>9</v>
      </c>
      <c r="G1045" s="1">
        <v>3161.4540000000002</v>
      </c>
      <c r="H1045" t="str">
        <f t="shared" si="16"/>
        <v>18-29</v>
      </c>
    </row>
    <row r="1046" spans="1:8" ht="15.75" customHeight="1">
      <c r="A1046" s="1">
        <v>55</v>
      </c>
      <c r="B1046" s="1" t="s">
        <v>10</v>
      </c>
      <c r="C1046" s="1">
        <v>35.244999999999997</v>
      </c>
      <c r="D1046" s="1">
        <v>1</v>
      </c>
      <c r="E1046" s="1" t="s">
        <v>11</v>
      </c>
      <c r="F1046" s="1" t="s">
        <v>14</v>
      </c>
      <c r="G1046" s="1">
        <v>11394.065549999999</v>
      </c>
      <c r="H1046" t="str">
        <f t="shared" si="16"/>
        <v>50-59</v>
      </c>
    </row>
    <row r="1047" spans="1:8" ht="15.75" customHeight="1">
      <c r="A1047" s="1">
        <v>43</v>
      </c>
      <c r="B1047" s="1" t="s">
        <v>7</v>
      </c>
      <c r="C1047" s="1">
        <v>24.7</v>
      </c>
      <c r="D1047" s="1">
        <v>2</v>
      </c>
      <c r="E1047" s="1" t="s">
        <v>8</v>
      </c>
      <c r="F1047" s="1" t="s">
        <v>13</v>
      </c>
      <c r="G1047" s="1">
        <v>21880.82</v>
      </c>
      <c r="H1047" t="str">
        <f t="shared" si="16"/>
        <v>40-49</v>
      </c>
    </row>
    <row r="1048" spans="1:8" ht="15.75" customHeight="1">
      <c r="A1048" s="1">
        <v>43</v>
      </c>
      <c r="B1048" s="1" t="s">
        <v>7</v>
      </c>
      <c r="C1048" s="1">
        <v>25.08</v>
      </c>
      <c r="D1048" s="1">
        <v>0</v>
      </c>
      <c r="E1048" s="1" t="s">
        <v>11</v>
      </c>
      <c r="F1048" s="1" t="s">
        <v>14</v>
      </c>
      <c r="G1048" s="1">
        <v>7325.0482000000002</v>
      </c>
      <c r="H1048" t="str">
        <f t="shared" si="16"/>
        <v>40-49</v>
      </c>
    </row>
    <row r="1049" spans="1:8" ht="15.75" customHeight="1">
      <c r="A1049" s="1">
        <v>22</v>
      </c>
      <c r="B1049" s="1" t="s">
        <v>10</v>
      </c>
      <c r="C1049" s="1">
        <v>52.58</v>
      </c>
      <c r="D1049" s="1">
        <v>1</v>
      </c>
      <c r="E1049" s="1" t="s">
        <v>8</v>
      </c>
      <c r="F1049" s="1" t="s">
        <v>12</v>
      </c>
      <c r="G1049" s="1">
        <v>44501.398200000003</v>
      </c>
      <c r="H1049" t="str">
        <f t="shared" si="16"/>
        <v>18-29</v>
      </c>
    </row>
    <row r="1050" spans="1:8" ht="15.75" customHeight="1">
      <c r="A1050" s="1">
        <v>25</v>
      </c>
      <c r="B1050" s="1" t="s">
        <v>7</v>
      </c>
      <c r="C1050" s="1">
        <v>22.515000000000001</v>
      </c>
      <c r="D1050" s="1">
        <v>1</v>
      </c>
      <c r="E1050" s="1" t="s">
        <v>11</v>
      </c>
      <c r="F1050" s="1" t="s">
        <v>13</v>
      </c>
      <c r="G1050" s="1">
        <v>3594.17085</v>
      </c>
      <c r="H1050" t="str">
        <f t="shared" si="16"/>
        <v>18-29</v>
      </c>
    </row>
    <row r="1051" spans="1:8" ht="15.75" customHeight="1">
      <c r="A1051" s="1">
        <v>49</v>
      </c>
      <c r="B1051" s="1" t="s">
        <v>10</v>
      </c>
      <c r="C1051" s="1">
        <v>30.9</v>
      </c>
      <c r="D1051" s="1">
        <v>0</v>
      </c>
      <c r="E1051" s="1" t="s">
        <v>8</v>
      </c>
      <c r="F1051" s="1" t="s">
        <v>9</v>
      </c>
      <c r="G1051" s="1">
        <v>39727.614000000001</v>
      </c>
      <c r="H1051" t="str">
        <f t="shared" si="16"/>
        <v>40-49</v>
      </c>
    </row>
    <row r="1052" spans="1:8" ht="15.75" customHeight="1">
      <c r="A1052" s="1">
        <v>44</v>
      </c>
      <c r="B1052" s="1" t="s">
        <v>7</v>
      </c>
      <c r="C1052" s="1">
        <v>36.954999999999998</v>
      </c>
      <c r="D1052" s="1">
        <v>1</v>
      </c>
      <c r="E1052" s="1" t="s">
        <v>11</v>
      </c>
      <c r="F1052" s="1" t="s">
        <v>13</v>
      </c>
      <c r="G1052" s="1">
        <v>8023.1354499999998</v>
      </c>
      <c r="H1052" t="str">
        <f t="shared" si="16"/>
        <v>40-49</v>
      </c>
    </row>
    <row r="1053" spans="1:8" ht="15.75" customHeight="1">
      <c r="A1053" s="1">
        <v>64</v>
      </c>
      <c r="B1053" s="1" t="s">
        <v>10</v>
      </c>
      <c r="C1053" s="1">
        <v>26.41</v>
      </c>
      <c r="D1053" s="1">
        <v>0</v>
      </c>
      <c r="E1053" s="1" t="s">
        <v>11</v>
      </c>
      <c r="F1053" s="1" t="s">
        <v>14</v>
      </c>
      <c r="G1053" s="1">
        <v>14394.5579</v>
      </c>
      <c r="H1053" t="str">
        <f t="shared" si="16"/>
        <v>60+</v>
      </c>
    </row>
    <row r="1054" spans="1:8" ht="15.75" customHeight="1">
      <c r="A1054" s="1">
        <v>49</v>
      </c>
      <c r="B1054" s="1" t="s">
        <v>10</v>
      </c>
      <c r="C1054" s="1">
        <v>29.83</v>
      </c>
      <c r="D1054" s="1">
        <v>1</v>
      </c>
      <c r="E1054" s="1" t="s">
        <v>11</v>
      </c>
      <c r="F1054" s="1" t="s">
        <v>14</v>
      </c>
      <c r="G1054" s="1">
        <v>9288.0267000000003</v>
      </c>
      <c r="H1054" t="str">
        <f t="shared" si="16"/>
        <v>40-49</v>
      </c>
    </row>
    <row r="1055" spans="1:8" ht="15.75" customHeight="1">
      <c r="A1055" s="1">
        <v>47</v>
      </c>
      <c r="B1055" s="1" t="s">
        <v>10</v>
      </c>
      <c r="C1055" s="1">
        <v>29.8</v>
      </c>
      <c r="D1055" s="1">
        <v>3</v>
      </c>
      <c r="E1055" s="1" t="s">
        <v>8</v>
      </c>
      <c r="F1055" s="1" t="s">
        <v>9</v>
      </c>
      <c r="G1055" s="1">
        <v>25309.489000000001</v>
      </c>
      <c r="H1055" t="str">
        <f t="shared" si="16"/>
        <v>40-49</v>
      </c>
    </row>
    <row r="1056" spans="1:8" ht="15.75" customHeight="1">
      <c r="A1056" s="1">
        <v>27</v>
      </c>
      <c r="B1056" s="1" t="s">
        <v>7</v>
      </c>
      <c r="C1056" s="1">
        <v>21.47</v>
      </c>
      <c r="D1056" s="1">
        <v>0</v>
      </c>
      <c r="E1056" s="1" t="s">
        <v>11</v>
      </c>
      <c r="F1056" s="1" t="s">
        <v>13</v>
      </c>
      <c r="G1056" s="1">
        <v>3353.4703</v>
      </c>
      <c r="H1056" t="str">
        <f t="shared" si="16"/>
        <v>18-29</v>
      </c>
    </row>
    <row r="1057" spans="1:8" ht="15.75" customHeight="1">
      <c r="A1057" s="1">
        <v>55</v>
      </c>
      <c r="B1057" s="1" t="s">
        <v>10</v>
      </c>
      <c r="C1057" s="1">
        <v>27.645</v>
      </c>
      <c r="D1057" s="1">
        <v>0</v>
      </c>
      <c r="E1057" s="1" t="s">
        <v>11</v>
      </c>
      <c r="F1057" s="1" t="s">
        <v>13</v>
      </c>
      <c r="G1057" s="1">
        <v>10594.501550000001</v>
      </c>
      <c r="H1057" t="str">
        <f t="shared" si="16"/>
        <v>50-59</v>
      </c>
    </row>
    <row r="1058" spans="1:8" ht="15.75" customHeight="1">
      <c r="A1058" s="1">
        <v>48</v>
      </c>
      <c r="B1058" s="1" t="s">
        <v>7</v>
      </c>
      <c r="C1058" s="1">
        <v>28.9</v>
      </c>
      <c r="D1058" s="1">
        <v>0</v>
      </c>
      <c r="E1058" s="1" t="s">
        <v>11</v>
      </c>
      <c r="F1058" s="1" t="s">
        <v>9</v>
      </c>
      <c r="G1058" s="1">
        <v>8277.5229999999992</v>
      </c>
      <c r="H1058" t="str">
        <f t="shared" si="16"/>
        <v>40-49</v>
      </c>
    </row>
    <row r="1059" spans="1:8" ht="15.75" customHeight="1">
      <c r="A1059" s="1">
        <v>45</v>
      </c>
      <c r="B1059" s="1" t="s">
        <v>7</v>
      </c>
      <c r="C1059" s="1">
        <v>31.79</v>
      </c>
      <c r="D1059" s="1">
        <v>0</v>
      </c>
      <c r="E1059" s="1" t="s">
        <v>11</v>
      </c>
      <c r="F1059" s="1" t="s">
        <v>12</v>
      </c>
      <c r="G1059" s="1">
        <v>17929.303370000001</v>
      </c>
      <c r="H1059" t="str">
        <f t="shared" si="16"/>
        <v>40-49</v>
      </c>
    </row>
    <row r="1060" spans="1:8" ht="15.75" customHeight="1">
      <c r="A1060" s="1">
        <v>24</v>
      </c>
      <c r="B1060" s="1" t="s">
        <v>7</v>
      </c>
      <c r="C1060" s="1">
        <v>39.49</v>
      </c>
      <c r="D1060" s="1">
        <v>0</v>
      </c>
      <c r="E1060" s="1" t="s">
        <v>11</v>
      </c>
      <c r="F1060" s="1" t="s">
        <v>12</v>
      </c>
      <c r="G1060" s="1">
        <v>2480.9791</v>
      </c>
      <c r="H1060" t="str">
        <f t="shared" si="16"/>
        <v>18-29</v>
      </c>
    </row>
    <row r="1061" spans="1:8" ht="15.75" customHeight="1">
      <c r="A1061" s="1">
        <v>32</v>
      </c>
      <c r="B1061" s="1" t="s">
        <v>10</v>
      </c>
      <c r="C1061" s="1">
        <v>33.82</v>
      </c>
      <c r="D1061" s="1">
        <v>1</v>
      </c>
      <c r="E1061" s="1" t="s">
        <v>11</v>
      </c>
      <c r="F1061" s="1" t="s">
        <v>13</v>
      </c>
      <c r="G1061" s="1">
        <v>4462.7218000000003</v>
      </c>
      <c r="H1061" t="str">
        <f t="shared" si="16"/>
        <v>30-39</v>
      </c>
    </row>
    <row r="1062" spans="1:8" ht="15.75" customHeight="1">
      <c r="A1062" s="1">
        <v>24</v>
      </c>
      <c r="B1062" s="1" t="s">
        <v>10</v>
      </c>
      <c r="C1062" s="1">
        <v>32.01</v>
      </c>
      <c r="D1062" s="1">
        <v>0</v>
      </c>
      <c r="E1062" s="1" t="s">
        <v>11</v>
      </c>
      <c r="F1062" s="1" t="s">
        <v>12</v>
      </c>
      <c r="G1062" s="1">
        <v>1981.5818999999999</v>
      </c>
      <c r="H1062" t="str">
        <f t="shared" si="16"/>
        <v>18-29</v>
      </c>
    </row>
    <row r="1063" spans="1:8" ht="15.75" customHeight="1">
      <c r="A1063" s="1">
        <v>57</v>
      </c>
      <c r="B1063" s="1" t="s">
        <v>10</v>
      </c>
      <c r="C1063" s="1">
        <v>27.94</v>
      </c>
      <c r="D1063" s="1">
        <v>1</v>
      </c>
      <c r="E1063" s="1" t="s">
        <v>11</v>
      </c>
      <c r="F1063" s="1" t="s">
        <v>12</v>
      </c>
      <c r="G1063" s="1">
        <v>11554.223599999999</v>
      </c>
      <c r="H1063" t="str">
        <f t="shared" si="16"/>
        <v>50-59</v>
      </c>
    </row>
    <row r="1064" spans="1:8" ht="15.75" customHeight="1">
      <c r="A1064" s="1">
        <v>59</v>
      </c>
      <c r="B1064" s="1" t="s">
        <v>10</v>
      </c>
      <c r="C1064" s="1">
        <v>41.14</v>
      </c>
      <c r="D1064" s="1">
        <v>1</v>
      </c>
      <c r="E1064" s="1" t="s">
        <v>8</v>
      </c>
      <c r="F1064" s="1" t="s">
        <v>12</v>
      </c>
      <c r="G1064" s="1">
        <v>48970.247600000002</v>
      </c>
      <c r="H1064" t="str">
        <f t="shared" si="16"/>
        <v>50-59</v>
      </c>
    </row>
    <row r="1065" spans="1:8" ht="15.75" customHeight="1">
      <c r="A1065" s="1">
        <v>36</v>
      </c>
      <c r="B1065" s="1" t="s">
        <v>10</v>
      </c>
      <c r="C1065" s="1">
        <v>28.594999999999999</v>
      </c>
      <c r="D1065" s="1">
        <v>3</v>
      </c>
      <c r="E1065" s="1" t="s">
        <v>11</v>
      </c>
      <c r="F1065" s="1" t="s">
        <v>13</v>
      </c>
      <c r="G1065" s="1">
        <v>6548.1950500000003</v>
      </c>
      <c r="H1065" t="str">
        <f t="shared" si="16"/>
        <v>30-39</v>
      </c>
    </row>
    <row r="1066" spans="1:8" ht="15.75" customHeight="1">
      <c r="A1066" s="1">
        <v>29</v>
      </c>
      <c r="B1066" s="1" t="s">
        <v>7</v>
      </c>
      <c r="C1066" s="1">
        <v>25.6</v>
      </c>
      <c r="D1066" s="1">
        <v>4</v>
      </c>
      <c r="E1066" s="1" t="s">
        <v>11</v>
      </c>
      <c r="F1066" s="1" t="s">
        <v>9</v>
      </c>
      <c r="G1066" s="1">
        <v>5708.8670000000002</v>
      </c>
      <c r="H1066" t="str">
        <f t="shared" si="16"/>
        <v>18-29</v>
      </c>
    </row>
    <row r="1067" spans="1:8" ht="15.75" customHeight="1">
      <c r="A1067" s="1">
        <v>42</v>
      </c>
      <c r="B1067" s="1" t="s">
        <v>7</v>
      </c>
      <c r="C1067" s="1">
        <v>25.3</v>
      </c>
      <c r="D1067" s="1">
        <v>1</v>
      </c>
      <c r="E1067" s="1" t="s">
        <v>11</v>
      </c>
      <c r="F1067" s="1" t="s">
        <v>9</v>
      </c>
      <c r="G1067" s="1">
        <v>7045.4989999999998</v>
      </c>
      <c r="H1067" t="str">
        <f t="shared" si="16"/>
        <v>40-49</v>
      </c>
    </row>
    <row r="1068" spans="1:8" ht="15.75" customHeight="1">
      <c r="A1068" s="1">
        <v>48</v>
      </c>
      <c r="B1068" s="1" t="s">
        <v>10</v>
      </c>
      <c r="C1068" s="1">
        <v>37.29</v>
      </c>
      <c r="D1068" s="1">
        <v>2</v>
      </c>
      <c r="E1068" s="1" t="s">
        <v>11</v>
      </c>
      <c r="F1068" s="1" t="s">
        <v>12</v>
      </c>
      <c r="G1068" s="1">
        <v>8978.1851000000006</v>
      </c>
      <c r="H1068" t="str">
        <f t="shared" si="16"/>
        <v>40-49</v>
      </c>
    </row>
    <row r="1069" spans="1:8" ht="15.75" customHeight="1">
      <c r="A1069" s="1">
        <v>39</v>
      </c>
      <c r="B1069" s="1" t="s">
        <v>10</v>
      </c>
      <c r="C1069" s="1">
        <v>42.655000000000001</v>
      </c>
      <c r="D1069" s="1">
        <v>0</v>
      </c>
      <c r="E1069" s="1" t="s">
        <v>11</v>
      </c>
      <c r="F1069" s="1" t="s">
        <v>14</v>
      </c>
      <c r="G1069" s="1">
        <v>5757.41345</v>
      </c>
      <c r="H1069" t="str">
        <f t="shared" si="16"/>
        <v>30-39</v>
      </c>
    </row>
    <row r="1070" spans="1:8" ht="15.75" customHeight="1">
      <c r="A1070" s="1">
        <v>63</v>
      </c>
      <c r="B1070" s="1" t="s">
        <v>10</v>
      </c>
      <c r="C1070" s="1">
        <v>21.66</v>
      </c>
      <c r="D1070" s="1">
        <v>1</v>
      </c>
      <c r="E1070" s="1" t="s">
        <v>11</v>
      </c>
      <c r="F1070" s="1" t="s">
        <v>13</v>
      </c>
      <c r="G1070" s="1">
        <v>14349.8544</v>
      </c>
      <c r="H1070" t="str">
        <f t="shared" si="16"/>
        <v>60+</v>
      </c>
    </row>
    <row r="1071" spans="1:8" ht="15.75" customHeight="1">
      <c r="A1071" s="1">
        <v>54</v>
      </c>
      <c r="B1071" s="1" t="s">
        <v>7</v>
      </c>
      <c r="C1071" s="1">
        <v>31.9</v>
      </c>
      <c r="D1071" s="1">
        <v>1</v>
      </c>
      <c r="E1071" s="1" t="s">
        <v>11</v>
      </c>
      <c r="F1071" s="1" t="s">
        <v>12</v>
      </c>
      <c r="G1071" s="1">
        <v>10928.849</v>
      </c>
      <c r="H1071" t="str">
        <f t="shared" si="16"/>
        <v>50-59</v>
      </c>
    </row>
    <row r="1072" spans="1:8" ht="15.75" customHeight="1">
      <c r="A1072" s="1">
        <v>37</v>
      </c>
      <c r="B1072" s="1" t="s">
        <v>10</v>
      </c>
      <c r="C1072" s="1">
        <v>37.07</v>
      </c>
      <c r="D1072" s="1">
        <v>1</v>
      </c>
      <c r="E1072" s="1" t="s">
        <v>8</v>
      </c>
      <c r="F1072" s="1" t="s">
        <v>12</v>
      </c>
      <c r="G1072" s="1">
        <v>39871.704299999998</v>
      </c>
      <c r="H1072" t="str">
        <f t="shared" si="16"/>
        <v>30-39</v>
      </c>
    </row>
    <row r="1073" spans="1:8" ht="15.75" customHeight="1">
      <c r="A1073" s="1">
        <v>63</v>
      </c>
      <c r="B1073" s="1" t="s">
        <v>10</v>
      </c>
      <c r="C1073" s="1">
        <v>31.445</v>
      </c>
      <c r="D1073" s="1">
        <v>0</v>
      </c>
      <c r="E1073" s="1" t="s">
        <v>11</v>
      </c>
      <c r="F1073" s="1" t="s">
        <v>14</v>
      </c>
      <c r="G1073" s="1">
        <v>13974.455550000001</v>
      </c>
      <c r="H1073" t="str">
        <f t="shared" si="16"/>
        <v>60+</v>
      </c>
    </row>
    <row r="1074" spans="1:8" ht="15.75" customHeight="1">
      <c r="A1074" s="1">
        <v>21</v>
      </c>
      <c r="B1074" s="1" t="s">
        <v>10</v>
      </c>
      <c r="C1074" s="1">
        <v>31.254999999999999</v>
      </c>
      <c r="D1074" s="1">
        <v>0</v>
      </c>
      <c r="E1074" s="1" t="s">
        <v>11</v>
      </c>
      <c r="F1074" s="1" t="s">
        <v>13</v>
      </c>
      <c r="G1074" s="1">
        <v>1909.52745</v>
      </c>
      <c r="H1074" t="str">
        <f t="shared" si="16"/>
        <v>18-29</v>
      </c>
    </row>
    <row r="1075" spans="1:8" ht="15.75" customHeight="1">
      <c r="A1075" s="1">
        <v>54</v>
      </c>
      <c r="B1075" s="1" t="s">
        <v>7</v>
      </c>
      <c r="C1075" s="1">
        <v>28.88</v>
      </c>
      <c r="D1075" s="1">
        <v>2</v>
      </c>
      <c r="E1075" s="1" t="s">
        <v>11</v>
      </c>
      <c r="F1075" s="1" t="s">
        <v>14</v>
      </c>
      <c r="G1075" s="1">
        <v>12096.6512</v>
      </c>
      <c r="H1075" t="str">
        <f t="shared" si="16"/>
        <v>50-59</v>
      </c>
    </row>
    <row r="1076" spans="1:8" ht="15.75" customHeight="1">
      <c r="A1076" s="1">
        <v>60</v>
      </c>
      <c r="B1076" s="1" t="s">
        <v>7</v>
      </c>
      <c r="C1076" s="1">
        <v>18.335000000000001</v>
      </c>
      <c r="D1076" s="1">
        <v>0</v>
      </c>
      <c r="E1076" s="1" t="s">
        <v>11</v>
      </c>
      <c r="F1076" s="1" t="s">
        <v>14</v>
      </c>
      <c r="G1076" s="1">
        <v>13204.28565</v>
      </c>
      <c r="H1076" t="str">
        <f t="shared" si="16"/>
        <v>60+</v>
      </c>
    </row>
    <row r="1077" spans="1:8" ht="15.75" customHeight="1">
      <c r="A1077" s="1">
        <v>32</v>
      </c>
      <c r="B1077" s="1" t="s">
        <v>7</v>
      </c>
      <c r="C1077" s="1">
        <v>29.59</v>
      </c>
      <c r="D1077" s="1">
        <v>1</v>
      </c>
      <c r="E1077" s="1" t="s">
        <v>11</v>
      </c>
      <c r="F1077" s="1" t="s">
        <v>12</v>
      </c>
      <c r="G1077" s="1">
        <v>4562.8420999999998</v>
      </c>
      <c r="H1077" t="str">
        <f t="shared" si="16"/>
        <v>30-39</v>
      </c>
    </row>
    <row r="1078" spans="1:8" ht="15.75" customHeight="1">
      <c r="A1078" s="1">
        <v>47</v>
      </c>
      <c r="B1078" s="1" t="s">
        <v>7</v>
      </c>
      <c r="C1078" s="1">
        <v>32</v>
      </c>
      <c r="D1078" s="1">
        <v>1</v>
      </c>
      <c r="E1078" s="1" t="s">
        <v>11</v>
      </c>
      <c r="F1078" s="1" t="s">
        <v>9</v>
      </c>
      <c r="G1078" s="1">
        <v>8551.3469999999998</v>
      </c>
      <c r="H1078" t="str">
        <f t="shared" si="16"/>
        <v>40-49</v>
      </c>
    </row>
    <row r="1079" spans="1:8" ht="15.75" customHeight="1">
      <c r="A1079" s="1">
        <v>21</v>
      </c>
      <c r="B1079" s="1" t="s">
        <v>10</v>
      </c>
      <c r="C1079" s="1">
        <v>26.03</v>
      </c>
      <c r="D1079" s="1">
        <v>0</v>
      </c>
      <c r="E1079" s="1" t="s">
        <v>11</v>
      </c>
      <c r="F1079" s="1" t="s">
        <v>14</v>
      </c>
      <c r="G1079" s="1">
        <v>2102.2647000000002</v>
      </c>
      <c r="H1079" t="str">
        <f t="shared" si="16"/>
        <v>18-29</v>
      </c>
    </row>
    <row r="1080" spans="1:8" ht="15.75" customHeight="1">
      <c r="A1080" s="1">
        <v>28</v>
      </c>
      <c r="B1080" s="1" t="s">
        <v>10</v>
      </c>
      <c r="C1080" s="1">
        <v>31.68</v>
      </c>
      <c r="D1080" s="1">
        <v>0</v>
      </c>
      <c r="E1080" s="1" t="s">
        <v>8</v>
      </c>
      <c r="F1080" s="1" t="s">
        <v>12</v>
      </c>
      <c r="G1080" s="1">
        <v>34672.147199999999</v>
      </c>
      <c r="H1080" t="str">
        <f t="shared" si="16"/>
        <v>18-29</v>
      </c>
    </row>
    <row r="1081" spans="1:8" ht="15.75" customHeight="1">
      <c r="A1081" s="1">
        <v>63</v>
      </c>
      <c r="B1081" s="1" t="s">
        <v>10</v>
      </c>
      <c r="C1081" s="1">
        <v>33.659999999999997</v>
      </c>
      <c r="D1081" s="1">
        <v>3</v>
      </c>
      <c r="E1081" s="1" t="s">
        <v>11</v>
      </c>
      <c r="F1081" s="1" t="s">
        <v>12</v>
      </c>
      <c r="G1081" s="1">
        <v>15161.5344</v>
      </c>
      <c r="H1081" t="str">
        <f t="shared" si="16"/>
        <v>60+</v>
      </c>
    </row>
    <row r="1082" spans="1:8" ht="15.75" customHeight="1">
      <c r="A1082" s="1">
        <v>18</v>
      </c>
      <c r="B1082" s="1" t="s">
        <v>10</v>
      </c>
      <c r="C1082" s="1">
        <v>21.78</v>
      </c>
      <c r="D1082" s="1">
        <v>2</v>
      </c>
      <c r="E1082" s="1" t="s">
        <v>11</v>
      </c>
      <c r="F1082" s="1" t="s">
        <v>12</v>
      </c>
      <c r="G1082" s="1">
        <v>11884.048580000001</v>
      </c>
      <c r="H1082" t="str">
        <f t="shared" si="16"/>
        <v>18-29</v>
      </c>
    </row>
    <row r="1083" spans="1:8" ht="15.75" customHeight="1">
      <c r="A1083" s="1">
        <v>32</v>
      </c>
      <c r="B1083" s="1" t="s">
        <v>10</v>
      </c>
      <c r="C1083" s="1">
        <v>27.835000000000001</v>
      </c>
      <c r="D1083" s="1">
        <v>1</v>
      </c>
      <c r="E1083" s="1" t="s">
        <v>11</v>
      </c>
      <c r="F1083" s="1" t="s">
        <v>13</v>
      </c>
      <c r="G1083" s="1">
        <v>4454.40265</v>
      </c>
      <c r="H1083" t="str">
        <f t="shared" si="16"/>
        <v>30-39</v>
      </c>
    </row>
    <row r="1084" spans="1:8" ht="15.75" customHeight="1">
      <c r="A1084" s="1">
        <v>38</v>
      </c>
      <c r="B1084" s="1" t="s">
        <v>10</v>
      </c>
      <c r="C1084" s="1">
        <v>19.95</v>
      </c>
      <c r="D1084" s="1">
        <v>1</v>
      </c>
      <c r="E1084" s="1" t="s">
        <v>11</v>
      </c>
      <c r="F1084" s="1" t="s">
        <v>13</v>
      </c>
      <c r="G1084" s="1">
        <v>5855.9025000000001</v>
      </c>
      <c r="H1084" t="str">
        <f t="shared" si="16"/>
        <v>30-39</v>
      </c>
    </row>
    <row r="1085" spans="1:8" ht="15.75" customHeight="1">
      <c r="A1085" s="1">
        <v>32</v>
      </c>
      <c r="B1085" s="1" t="s">
        <v>10</v>
      </c>
      <c r="C1085" s="1">
        <v>31.5</v>
      </c>
      <c r="D1085" s="1">
        <v>1</v>
      </c>
      <c r="E1085" s="1" t="s">
        <v>11</v>
      </c>
      <c r="F1085" s="1" t="s">
        <v>9</v>
      </c>
      <c r="G1085" s="1">
        <v>4076.4969999999998</v>
      </c>
      <c r="H1085" t="str">
        <f t="shared" si="16"/>
        <v>30-39</v>
      </c>
    </row>
    <row r="1086" spans="1:8" ht="15.75" customHeight="1">
      <c r="A1086" s="1">
        <v>62</v>
      </c>
      <c r="B1086" s="1" t="s">
        <v>7</v>
      </c>
      <c r="C1086" s="1">
        <v>30.495000000000001</v>
      </c>
      <c r="D1086" s="1">
        <v>2</v>
      </c>
      <c r="E1086" s="1" t="s">
        <v>11</v>
      </c>
      <c r="F1086" s="1" t="s">
        <v>13</v>
      </c>
      <c r="G1086" s="1">
        <v>15019.760050000001</v>
      </c>
      <c r="H1086" t="str">
        <f t="shared" si="16"/>
        <v>60+</v>
      </c>
    </row>
    <row r="1087" spans="1:8" ht="15.75" customHeight="1">
      <c r="A1087" s="1">
        <v>39</v>
      </c>
      <c r="B1087" s="1" t="s">
        <v>7</v>
      </c>
      <c r="C1087" s="1">
        <v>18.3</v>
      </c>
      <c r="D1087" s="1">
        <v>5</v>
      </c>
      <c r="E1087" s="1" t="s">
        <v>8</v>
      </c>
      <c r="F1087" s="1" t="s">
        <v>9</v>
      </c>
      <c r="G1087" s="1">
        <v>19023.259999999998</v>
      </c>
      <c r="H1087" t="str">
        <f t="shared" si="16"/>
        <v>30-39</v>
      </c>
    </row>
    <row r="1088" spans="1:8" ht="15.75" customHeight="1">
      <c r="A1088" s="1">
        <v>55</v>
      </c>
      <c r="B1088" s="1" t="s">
        <v>10</v>
      </c>
      <c r="C1088" s="1">
        <v>28.975000000000001</v>
      </c>
      <c r="D1088" s="1">
        <v>0</v>
      </c>
      <c r="E1088" s="1" t="s">
        <v>11</v>
      </c>
      <c r="F1088" s="1" t="s">
        <v>14</v>
      </c>
      <c r="G1088" s="1">
        <v>10796.35025</v>
      </c>
      <c r="H1088" t="str">
        <f t="shared" si="16"/>
        <v>50-59</v>
      </c>
    </row>
    <row r="1089" spans="1:8" ht="15.75" customHeight="1">
      <c r="A1089" s="1">
        <v>57</v>
      </c>
      <c r="B1089" s="1" t="s">
        <v>10</v>
      </c>
      <c r="C1089" s="1">
        <v>31.54</v>
      </c>
      <c r="D1089" s="1">
        <v>0</v>
      </c>
      <c r="E1089" s="1" t="s">
        <v>11</v>
      </c>
      <c r="F1089" s="1" t="s">
        <v>13</v>
      </c>
      <c r="G1089" s="1">
        <v>11353.2276</v>
      </c>
      <c r="H1089" t="str">
        <f t="shared" si="16"/>
        <v>50-59</v>
      </c>
    </row>
    <row r="1090" spans="1:8" ht="15.75" customHeight="1">
      <c r="A1090" s="1">
        <v>52</v>
      </c>
      <c r="B1090" s="1" t="s">
        <v>10</v>
      </c>
      <c r="C1090" s="1">
        <v>47.74</v>
      </c>
      <c r="D1090" s="1">
        <v>1</v>
      </c>
      <c r="E1090" s="1" t="s">
        <v>11</v>
      </c>
      <c r="F1090" s="1" t="s">
        <v>12</v>
      </c>
      <c r="G1090" s="1">
        <v>9748.9105999999992</v>
      </c>
      <c r="H1090" t="str">
        <f t="shared" si="16"/>
        <v>50-59</v>
      </c>
    </row>
    <row r="1091" spans="1:8" ht="15.75" customHeight="1">
      <c r="A1091" s="1">
        <v>56</v>
      </c>
      <c r="B1091" s="1" t="s">
        <v>10</v>
      </c>
      <c r="C1091" s="1">
        <v>22.1</v>
      </c>
      <c r="D1091" s="1">
        <v>0</v>
      </c>
      <c r="E1091" s="1" t="s">
        <v>11</v>
      </c>
      <c r="F1091" s="1" t="s">
        <v>9</v>
      </c>
      <c r="G1091" s="1">
        <v>10577.087</v>
      </c>
      <c r="H1091" t="str">
        <f t="shared" ref="H1091:H1154" si="17">IF(A1091&lt;30,"18-29",IF(A1091&lt;40,"30-39",IF(A1091&lt;50,"40-49",IF(A1091&lt;60,"50-59","60+"))))</f>
        <v>50-59</v>
      </c>
    </row>
    <row r="1092" spans="1:8" ht="15.75" customHeight="1">
      <c r="A1092" s="1">
        <v>47</v>
      </c>
      <c r="B1092" s="1" t="s">
        <v>10</v>
      </c>
      <c r="C1092" s="1">
        <v>36.19</v>
      </c>
      <c r="D1092" s="1">
        <v>0</v>
      </c>
      <c r="E1092" s="1" t="s">
        <v>8</v>
      </c>
      <c r="F1092" s="1" t="s">
        <v>12</v>
      </c>
      <c r="G1092" s="1">
        <v>41676.081100000003</v>
      </c>
      <c r="H1092" t="str">
        <f t="shared" si="17"/>
        <v>40-49</v>
      </c>
    </row>
    <row r="1093" spans="1:8" ht="15.75" customHeight="1">
      <c r="A1093" s="1">
        <v>55</v>
      </c>
      <c r="B1093" s="1" t="s">
        <v>7</v>
      </c>
      <c r="C1093" s="1">
        <v>29.83</v>
      </c>
      <c r="D1093" s="1">
        <v>0</v>
      </c>
      <c r="E1093" s="1" t="s">
        <v>11</v>
      </c>
      <c r="F1093" s="1" t="s">
        <v>14</v>
      </c>
      <c r="G1093" s="1">
        <v>11286.538699999999</v>
      </c>
      <c r="H1093" t="str">
        <f t="shared" si="17"/>
        <v>50-59</v>
      </c>
    </row>
    <row r="1094" spans="1:8" ht="15.75" customHeight="1">
      <c r="A1094" s="1">
        <v>23</v>
      </c>
      <c r="B1094" s="1" t="s">
        <v>10</v>
      </c>
      <c r="C1094" s="1">
        <v>32.700000000000003</v>
      </c>
      <c r="D1094" s="1">
        <v>3</v>
      </c>
      <c r="E1094" s="1" t="s">
        <v>11</v>
      </c>
      <c r="F1094" s="1" t="s">
        <v>9</v>
      </c>
      <c r="G1094" s="1">
        <v>3591.48</v>
      </c>
      <c r="H1094" t="str">
        <f t="shared" si="17"/>
        <v>18-29</v>
      </c>
    </row>
    <row r="1095" spans="1:8" ht="15.75" customHeight="1">
      <c r="A1095" s="1">
        <v>22</v>
      </c>
      <c r="B1095" s="1" t="s">
        <v>7</v>
      </c>
      <c r="C1095" s="1">
        <v>30.4</v>
      </c>
      <c r="D1095" s="1">
        <v>0</v>
      </c>
      <c r="E1095" s="1" t="s">
        <v>8</v>
      </c>
      <c r="F1095" s="1" t="s">
        <v>13</v>
      </c>
      <c r="G1095" s="1">
        <v>33907.548000000003</v>
      </c>
      <c r="H1095" t="str">
        <f t="shared" si="17"/>
        <v>18-29</v>
      </c>
    </row>
    <row r="1096" spans="1:8" ht="15.75" customHeight="1">
      <c r="A1096" s="1">
        <v>50</v>
      </c>
      <c r="B1096" s="1" t="s">
        <v>7</v>
      </c>
      <c r="C1096" s="1">
        <v>33.700000000000003</v>
      </c>
      <c r="D1096" s="1">
        <v>4</v>
      </c>
      <c r="E1096" s="1" t="s">
        <v>11</v>
      </c>
      <c r="F1096" s="1" t="s">
        <v>9</v>
      </c>
      <c r="G1096" s="1">
        <v>11299.343000000001</v>
      </c>
      <c r="H1096" t="str">
        <f t="shared" si="17"/>
        <v>50-59</v>
      </c>
    </row>
    <row r="1097" spans="1:8" ht="15.75" customHeight="1">
      <c r="A1097" s="1">
        <v>18</v>
      </c>
      <c r="B1097" s="1" t="s">
        <v>7</v>
      </c>
      <c r="C1097" s="1">
        <v>31.35</v>
      </c>
      <c r="D1097" s="1">
        <v>4</v>
      </c>
      <c r="E1097" s="1" t="s">
        <v>11</v>
      </c>
      <c r="F1097" s="1" t="s">
        <v>14</v>
      </c>
      <c r="G1097" s="1">
        <v>4561.1885000000002</v>
      </c>
      <c r="H1097" t="str">
        <f t="shared" si="17"/>
        <v>18-29</v>
      </c>
    </row>
    <row r="1098" spans="1:8" ht="15.75" customHeight="1">
      <c r="A1098" s="1">
        <v>51</v>
      </c>
      <c r="B1098" s="1" t="s">
        <v>7</v>
      </c>
      <c r="C1098" s="1">
        <v>34.96</v>
      </c>
      <c r="D1098" s="1">
        <v>2</v>
      </c>
      <c r="E1098" s="1" t="s">
        <v>8</v>
      </c>
      <c r="F1098" s="1" t="s">
        <v>14</v>
      </c>
      <c r="G1098" s="1">
        <v>44641.197399999997</v>
      </c>
      <c r="H1098" t="str">
        <f t="shared" si="17"/>
        <v>50-59</v>
      </c>
    </row>
    <row r="1099" spans="1:8" ht="15.75" customHeight="1">
      <c r="A1099" s="1">
        <v>22</v>
      </c>
      <c r="B1099" s="1" t="s">
        <v>10</v>
      </c>
      <c r="C1099" s="1">
        <v>33.770000000000003</v>
      </c>
      <c r="D1099" s="1">
        <v>0</v>
      </c>
      <c r="E1099" s="1" t="s">
        <v>11</v>
      </c>
      <c r="F1099" s="1" t="s">
        <v>12</v>
      </c>
      <c r="G1099" s="1">
        <v>1674.6323</v>
      </c>
      <c r="H1099" t="str">
        <f t="shared" si="17"/>
        <v>18-29</v>
      </c>
    </row>
    <row r="1100" spans="1:8" ht="15.75" customHeight="1">
      <c r="A1100" s="1">
        <v>52</v>
      </c>
      <c r="B1100" s="1" t="s">
        <v>7</v>
      </c>
      <c r="C1100" s="1">
        <v>30.875</v>
      </c>
      <c r="D1100" s="1">
        <v>0</v>
      </c>
      <c r="E1100" s="1" t="s">
        <v>11</v>
      </c>
      <c r="F1100" s="1" t="s">
        <v>14</v>
      </c>
      <c r="G1100" s="1">
        <v>23045.566159999998</v>
      </c>
      <c r="H1100" t="str">
        <f t="shared" si="17"/>
        <v>50-59</v>
      </c>
    </row>
    <row r="1101" spans="1:8" ht="15.75" customHeight="1">
      <c r="A1101" s="1">
        <v>25</v>
      </c>
      <c r="B1101" s="1" t="s">
        <v>7</v>
      </c>
      <c r="C1101" s="1">
        <v>33.99</v>
      </c>
      <c r="D1101" s="1">
        <v>1</v>
      </c>
      <c r="E1101" s="1" t="s">
        <v>11</v>
      </c>
      <c r="F1101" s="1" t="s">
        <v>12</v>
      </c>
      <c r="G1101" s="1">
        <v>3227.1210999999998</v>
      </c>
      <c r="H1101" t="str">
        <f t="shared" si="17"/>
        <v>18-29</v>
      </c>
    </row>
    <row r="1102" spans="1:8" ht="15.75" customHeight="1">
      <c r="A1102" s="1">
        <v>33</v>
      </c>
      <c r="B1102" s="1" t="s">
        <v>7</v>
      </c>
      <c r="C1102" s="1">
        <v>19.094999999999999</v>
      </c>
      <c r="D1102" s="1">
        <v>2</v>
      </c>
      <c r="E1102" s="1" t="s">
        <v>8</v>
      </c>
      <c r="F1102" s="1" t="s">
        <v>14</v>
      </c>
      <c r="G1102" s="1">
        <v>16776.304049999999</v>
      </c>
      <c r="H1102" t="str">
        <f t="shared" si="17"/>
        <v>30-39</v>
      </c>
    </row>
    <row r="1103" spans="1:8" ht="15.75" customHeight="1">
      <c r="A1103" s="1">
        <v>53</v>
      </c>
      <c r="B1103" s="1" t="s">
        <v>10</v>
      </c>
      <c r="C1103" s="1">
        <v>28.6</v>
      </c>
      <c r="D1103" s="1">
        <v>3</v>
      </c>
      <c r="E1103" s="1" t="s">
        <v>11</v>
      </c>
      <c r="F1103" s="1" t="s">
        <v>9</v>
      </c>
      <c r="G1103" s="1">
        <v>11253.421</v>
      </c>
      <c r="H1103" t="str">
        <f t="shared" si="17"/>
        <v>50-59</v>
      </c>
    </row>
    <row r="1104" spans="1:8" ht="15.75" customHeight="1">
      <c r="A1104" s="1">
        <v>29</v>
      </c>
      <c r="B1104" s="1" t="s">
        <v>10</v>
      </c>
      <c r="C1104" s="1">
        <v>38.94</v>
      </c>
      <c r="D1104" s="1">
        <v>1</v>
      </c>
      <c r="E1104" s="1" t="s">
        <v>11</v>
      </c>
      <c r="F1104" s="1" t="s">
        <v>12</v>
      </c>
      <c r="G1104" s="1">
        <v>3471.4096</v>
      </c>
      <c r="H1104" t="str">
        <f t="shared" si="17"/>
        <v>18-29</v>
      </c>
    </row>
    <row r="1105" spans="1:8" ht="15.75" customHeight="1">
      <c r="A1105" s="1">
        <v>58</v>
      </c>
      <c r="B1105" s="1" t="s">
        <v>10</v>
      </c>
      <c r="C1105" s="1">
        <v>36.08</v>
      </c>
      <c r="D1105" s="1">
        <v>0</v>
      </c>
      <c r="E1105" s="1" t="s">
        <v>11</v>
      </c>
      <c r="F1105" s="1" t="s">
        <v>12</v>
      </c>
      <c r="G1105" s="1">
        <v>11363.2832</v>
      </c>
      <c r="H1105" t="str">
        <f t="shared" si="17"/>
        <v>50-59</v>
      </c>
    </row>
    <row r="1106" spans="1:8" ht="15.75" customHeight="1">
      <c r="A1106" s="1">
        <v>37</v>
      </c>
      <c r="B1106" s="1" t="s">
        <v>10</v>
      </c>
      <c r="C1106" s="1">
        <v>29.8</v>
      </c>
      <c r="D1106" s="1">
        <v>0</v>
      </c>
      <c r="E1106" s="1" t="s">
        <v>11</v>
      </c>
      <c r="F1106" s="1" t="s">
        <v>9</v>
      </c>
      <c r="G1106" s="1">
        <v>20420.604650000001</v>
      </c>
      <c r="H1106" t="str">
        <f t="shared" si="17"/>
        <v>30-39</v>
      </c>
    </row>
    <row r="1107" spans="1:8" ht="15.75" customHeight="1">
      <c r="A1107" s="1">
        <v>54</v>
      </c>
      <c r="B1107" s="1" t="s">
        <v>7</v>
      </c>
      <c r="C1107" s="1">
        <v>31.24</v>
      </c>
      <c r="D1107" s="1">
        <v>0</v>
      </c>
      <c r="E1107" s="1" t="s">
        <v>11</v>
      </c>
      <c r="F1107" s="1" t="s">
        <v>12</v>
      </c>
      <c r="G1107" s="1">
        <v>10338.9316</v>
      </c>
      <c r="H1107" t="str">
        <f t="shared" si="17"/>
        <v>50-59</v>
      </c>
    </row>
    <row r="1108" spans="1:8" ht="15.75" customHeight="1">
      <c r="A1108" s="1">
        <v>49</v>
      </c>
      <c r="B1108" s="1" t="s">
        <v>7</v>
      </c>
      <c r="C1108" s="1">
        <v>29.925000000000001</v>
      </c>
      <c r="D1108" s="1">
        <v>0</v>
      </c>
      <c r="E1108" s="1" t="s">
        <v>11</v>
      </c>
      <c r="F1108" s="1" t="s">
        <v>13</v>
      </c>
      <c r="G1108" s="1">
        <v>8988.1587500000005</v>
      </c>
      <c r="H1108" t="str">
        <f t="shared" si="17"/>
        <v>40-49</v>
      </c>
    </row>
    <row r="1109" spans="1:8" ht="15.75" customHeight="1">
      <c r="A1109" s="1">
        <v>50</v>
      </c>
      <c r="B1109" s="1" t="s">
        <v>7</v>
      </c>
      <c r="C1109" s="1">
        <v>26.22</v>
      </c>
      <c r="D1109" s="1">
        <v>2</v>
      </c>
      <c r="E1109" s="1" t="s">
        <v>11</v>
      </c>
      <c r="F1109" s="1" t="s">
        <v>13</v>
      </c>
      <c r="G1109" s="1">
        <v>10493.9458</v>
      </c>
      <c r="H1109" t="str">
        <f t="shared" si="17"/>
        <v>50-59</v>
      </c>
    </row>
    <row r="1110" spans="1:8" ht="15.75" customHeight="1">
      <c r="A1110" s="1">
        <v>26</v>
      </c>
      <c r="B1110" s="1" t="s">
        <v>10</v>
      </c>
      <c r="C1110" s="1">
        <v>30</v>
      </c>
      <c r="D1110" s="1">
        <v>1</v>
      </c>
      <c r="E1110" s="1" t="s">
        <v>11</v>
      </c>
      <c r="F1110" s="1" t="s">
        <v>9</v>
      </c>
      <c r="G1110" s="1">
        <v>2904.0880000000002</v>
      </c>
      <c r="H1110" t="str">
        <f t="shared" si="17"/>
        <v>18-29</v>
      </c>
    </row>
    <row r="1111" spans="1:8" ht="15.75" customHeight="1">
      <c r="A1111" s="1">
        <v>45</v>
      </c>
      <c r="B1111" s="1" t="s">
        <v>10</v>
      </c>
      <c r="C1111" s="1">
        <v>20.350000000000001</v>
      </c>
      <c r="D1111" s="1">
        <v>3</v>
      </c>
      <c r="E1111" s="1" t="s">
        <v>11</v>
      </c>
      <c r="F1111" s="1" t="s">
        <v>12</v>
      </c>
      <c r="G1111" s="1">
        <v>8605.3615000000009</v>
      </c>
      <c r="H1111" t="str">
        <f t="shared" si="17"/>
        <v>40-49</v>
      </c>
    </row>
    <row r="1112" spans="1:8" ht="15.75" customHeight="1">
      <c r="A1112" s="1">
        <v>54</v>
      </c>
      <c r="B1112" s="1" t="s">
        <v>7</v>
      </c>
      <c r="C1112" s="1">
        <v>32.299999999999997</v>
      </c>
      <c r="D1112" s="1">
        <v>1</v>
      </c>
      <c r="E1112" s="1" t="s">
        <v>11</v>
      </c>
      <c r="F1112" s="1" t="s">
        <v>14</v>
      </c>
      <c r="G1112" s="1">
        <v>11512.405000000001</v>
      </c>
      <c r="H1112" t="str">
        <f t="shared" si="17"/>
        <v>50-59</v>
      </c>
    </row>
    <row r="1113" spans="1:8" ht="15.75" customHeight="1">
      <c r="A1113" s="1">
        <v>38</v>
      </c>
      <c r="B1113" s="1" t="s">
        <v>10</v>
      </c>
      <c r="C1113" s="1">
        <v>38.39</v>
      </c>
      <c r="D1113" s="1">
        <v>3</v>
      </c>
      <c r="E1113" s="1" t="s">
        <v>8</v>
      </c>
      <c r="F1113" s="1" t="s">
        <v>12</v>
      </c>
      <c r="G1113" s="1">
        <v>41949.244100000004</v>
      </c>
      <c r="H1113" t="str">
        <f t="shared" si="17"/>
        <v>30-39</v>
      </c>
    </row>
    <row r="1114" spans="1:8" ht="15.75" customHeight="1">
      <c r="A1114" s="1">
        <v>48</v>
      </c>
      <c r="B1114" s="1" t="s">
        <v>7</v>
      </c>
      <c r="C1114" s="1">
        <v>25.85</v>
      </c>
      <c r="D1114" s="1">
        <v>3</v>
      </c>
      <c r="E1114" s="1" t="s">
        <v>8</v>
      </c>
      <c r="F1114" s="1" t="s">
        <v>12</v>
      </c>
      <c r="G1114" s="1">
        <v>24180.933499999999</v>
      </c>
      <c r="H1114" t="str">
        <f t="shared" si="17"/>
        <v>40-49</v>
      </c>
    </row>
    <row r="1115" spans="1:8" ht="15.75" customHeight="1">
      <c r="A1115" s="1">
        <v>28</v>
      </c>
      <c r="B1115" s="1" t="s">
        <v>7</v>
      </c>
      <c r="C1115" s="1">
        <v>26.315000000000001</v>
      </c>
      <c r="D1115" s="1">
        <v>3</v>
      </c>
      <c r="E1115" s="1" t="s">
        <v>11</v>
      </c>
      <c r="F1115" s="1" t="s">
        <v>13</v>
      </c>
      <c r="G1115" s="1">
        <v>5312.1698500000002</v>
      </c>
      <c r="H1115" t="str">
        <f t="shared" si="17"/>
        <v>18-29</v>
      </c>
    </row>
    <row r="1116" spans="1:8" ht="15.75" customHeight="1">
      <c r="A1116" s="1">
        <v>23</v>
      </c>
      <c r="B1116" s="1" t="s">
        <v>10</v>
      </c>
      <c r="C1116" s="1">
        <v>24.51</v>
      </c>
      <c r="D1116" s="1">
        <v>0</v>
      </c>
      <c r="E1116" s="1" t="s">
        <v>11</v>
      </c>
      <c r="F1116" s="1" t="s">
        <v>14</v>
      </c>
      <c r="G1116" s="1">
        <v>2396.0958999999998</v>
      </c>
      <c r="H1116" t="str">
        <f t="shared" si="17"/>
        <v>18-29</v>
      </c>
    </row>
    <row r="1117" spans="1:8" ht="15.75" customHeight="1">
      <c r="A1117" s="1">
        <v>55</v>
      </c>
      <c r="B1117" s="1" t="s">
        <v>10</v>
      </c>
      <c r="C1117" s="1">
        <v>32.67</v>
      </c>
      <c r="D1117" s="1">
        <v>1</v>
      </c>
      <c r="E1117" s="1" t="s">
        <v>11</v>
      </c>
      <c r="F1117" s="1" t="s">
        <v>12</v>
      </c>
      <c r="G1117" s="1">
        <v>10807.4863</v>
      </c>
      <c r="H1117" t="str">
        <f t="shared" si="17"/>
        <v>50-59</v>
      </c>
    </row>
    <row r="1118" spans="1:8" ht="15.75" customHeight="1">
      <c r="A1118" s="1">
        <v>41</v>
      </c>
      <c r="B1118" s="1" t="s">
        <v>10</v>
      </c>
      <c r="C1118" s="1">
        <v>29.64</v>
      </c>
      <c r="D1118" s="1">
        <v>5</v>
      </c>
      <c r="E1118" s="1" t="s">
        <v>11</v>
      </c>
      <c r="F1118" s="1" t="s">
        <v>14</v>
      </c>
      <c r="G1118" s="1">
        <v>9222.4025999999994</v>
      </c>
      <c r="H1118" t="str">
        <f t="shared" si="17"/>
        <v>40-49</v>
      </c>
    </row>
    <row r="1119" spans="1:8" ht="15.75" customHeight="1">
      <c r="A1119" s="1">
        <v>25</v>
      </c>
      <c r="B1119" s="1" t="s">
        <v>10</v>
      </c>
      <c r="C1119" s="1">
        <v>33.33</v>
      </c>
      <c r="D1119" s="1">
        <v>2</v>
      </c>
      <c r="E1119" s="1" t="s">
        <v>8</v>
      </c>
      <c r="F1119" s="1" t="s">
        <v>12</v>
      </c>
      <c r="G1119" s="1">
        <v>36124.573700000001</v>
      </c>
      <c r="H1119" t="str">
        <f t="shared" si="17"/>
        <v>18-29</v>
      </c>
    </row>
    <row r="1120" spans="1:8" ht="15.75" customHeight="1">
      <c r="A1120" s="1">
        <v>33</v>
      </c>
      <c r="B1120" s="1" t="s">
        <v>10</v>
      </c>
      <c r="C1120" s="1">
        <v>35.75</v>
      </c>
      <c r="D1120" s="1">
        <v>1</v>
      </c>
      <c r="E1120" s="1" t="s">
        <v>8</v>
      </c>
      <c r="F1120" s="1" t="s">
        <v>12</v>
      </c>
      <c r="G1120" s="1">
        <v>38282.749499999998</v>
      </c>
      <c r="H1120" t="str">
        <f t="shared" si="17"/>
        <v>30-39</v>
      </c>
    </row>
    <row r="1121" spans="1:8" ht="15.75" customHeight="1">
      <c r="A1121" s="1">
        <v>30</v>
      </c>
      <c r="B1121" s="1" t="s">
        <v>7</v>
      </c>
      <c r="C1121" s="1">
        <v>19.95</v>
      </c>
      <c r="D1121" s="1">
        <v>3</v>
      </c>
      <c r="E1121" s="1" t="s">
        <v>11</v>
      </c>
      <c r="F1121" s="1" t="s">
        <v>13</v>
      </c>
      <c r="G1121" s="1">
        <v>5693.4305000000004</v>
      </c>
      <c r="H1121" t="str">
        <f t="shared" si="17"/>
        <v>30-39</v>
      </c>
    </row>
    <row r="1122" spans="1:8" ht="15.75" customHeight="1">
      <c r="A1122" s="1">
        <v>23</v>
      </c>
      <c r="B1122" s="1" t="s">
        <v>7</v>
      </c>
      <c r="C1122" s="1">
        <v>31.4</v>
      </c>
      <c r="D1122" s="1">
        <v>0</v>
      </c>
      <c r="E1122" s="1" t="s">
        <v>8</v>
      </c>
      <c r="F1122" s="1" t="s">
        <v>9</v>
      </c>
      <c r="G1122" s="1">
        <v>34166.273000000001</v>
      </c>
      <c r="H1122" t="str">
        <f t="shared" si="17"/>
        <v>18-29</v>
      </c>
    </row>
    <row r="1123" spans="1:8" ht="15.75" customHeight="1">
      <c r="A1123" s="1">
        <v>46</v>
      </c>
      <c r="B1123" s="1" t="s">
        <v>10</v>
      </c>
      <c r="C1123" s="1">
        <v>38.17</v>
      </c>
      <c r="D1123" s="1">
        <v>2</v>
      </c>
      <c r="E1123" s="1" t="s">
        <v>11</v>
      </c>
      <c r="F1123" s="1" t="s">
        <v>12</v>
      </c>
      <c r="G1123" s="1">
        <v>8347.1643000000004</v>
      </c>
      <c r="H1123" t="str">
        <f t="shared" si="17"/>
        <v>40-49</v>
      </c>
    </row>
    <row r="1124" spans="1:8" ht="15.75" customHeight="1">
      <c r="A1124" s="1">
        <v>53</v>
      </c>
      <c r="B1124" s="1" t="s">
        <v>7</v>
      </c>
      <c r="C1124" s="1">
        <v>36.86</v>
      </c>
      <c r="D1124" s="1">
        <v>3</v>
      </c>
      <c r="E1124" s="1" t="s">
        <v>8</v>
      </c>
      <c r="F1124" s="1" t="s">
        <v>13</v>
      </c>
      <c r="G1124" s="1">
        <v>46661.4424</v>
      </c>
      <c r="H1124" t="str">
        <f t="shared" si="17"/>
        <v>50-59</v>
      </c>
    </row>
    <row r="1125" spans="1:8" ht="15.75" customHeight="1">
      <c r="A1125" s="1">
        <v>27</v>
      </c>
      <c r="B1125" s="1" t="s">
        <v>7</v>
      </c>
      <c r="C1125" s="1">
        <v>32.395000000000003</v>
      </c>
      <c r="D1125" s="1">
        <v>1</v>
      </c>
      <c r="E1125" s="1" t="s">
        <v>11</v>
      </c>
      <c r="F1125" s="1" t="s">
        <v>14</v>
      </c>
      <c r="G1125" s="1">
        <v>18903.491409999999</v>
      </c>
      <c r="H1125" t="str">
        <f t="shared" si="17"/>
        <v>18-29</v>
      </c>
    </row>
    <row r="1126" spans="1:8" ht="15.75" customHeight="1">
      <c r="A1126" s="1">
        <v>23</v>
      </c>
      <c r="B1126" s="1" t="s">
        <v>7</v>
      </c>
      <c r="C1126" s="1">
        <v>42.75</v>
      </c>
      <c r="D1126" s="1">
        <v>1</v>
      </c>
      <c r="E1126" s="1" t="s">
        <v>8</v>
      </c>
      <c r="F1126" s="1" t="s">
        <v>14</v>
      </c>
      <c r="G1126" s="1">
        <v>40904.199500000002</v>
      </c>
      <c r="H1126" t="str">
        <f t="shared" si="17"/>
        <v>18-29</v>
      </c>
    </row>
    <row r="1127" spans="1:8" ht="15.75" customHeight="1">
      <c r="A1127" s="1">
        <v>63</v>
      </c>
      <c r="B1127" s="1" t="s">
        <v>7</v>
      </c>
      <c r="C1127" s="1">
        <v>25.08</v>
      </c>
      <c r="D1127" s="1">
        <v>0</v>
      </c>
      <c r="E1127" s="1" t="s">
        <v>11</v>
      </c>
      <c r="F1127" s="1" t="s">
        <v>13</v>
      </c>
      <c r="G1127" s="1">
        <v>14254.608200000001</v>
      </c>
      <c r="H1127" t="str">
        <f t="shared" si="17"/>
        <v>60+</v>
      </c>
    </row>
    <row r="1128" spans="1:8" ht="15.75" customHeight="1">
      <c r="A1128" s="1">
        <v>55</v>
      </c>
      <c r="B1128" s="1" t="s">
        <v>10</v>
      </c>
      <c r="C1128" s="1">
        <v>29.9</v>
      </c>
      <c r="D1128" s="1">
        <v>0</v>
      </c>
      <c r="E1128" s="1" t="s">
        <v>11</v>
      </c>
      <c r="F1128" s="1" t="s">
        <v>9</v>
      </c>
      <c r="G1128" s="1">
        <v>10214.636</v>
      </c>
      <c r="H1128" t="str">
        <f t="shared" si="17"/>
        <v>50-59</v>
      </c>
    </row>
    <row r="1129" spans="1:8" ht="15.75" customHeight="1">
      <c r="A1129" s="1">
        <v>35</v>
      </c>
      <c r="B1129" s="1" t="s">
        <v>7</v>
      </c>
      <c r="C1129" s="1">
        <v>35.86</v>
      </c>
      <c r="D1129" s="1">
        <v>2</v>
      </c>
      <c r="E1129" s="1" t="s">
        <v>11</v>
      </c>
      <c r="F1129" s="1" t="s">
        <v>12</v>
      </c>
      <c r="G1129" s="1">
        <v>5836.5204000000003</v>
      </c>
      <c r="H1129" t="str">
        <f t="shared" si="17"/>
        <v>30-39</v>
      </c>
    </row>
    <row r="1130" spans="1:8" ht="15.75" customHeight="1">
      <c r="A1130" s="1">
        <v>34</v>
      </c>
      <c r="B1130" s="1" t="s">
        <v>10</v>
      </c>
      <c r="C1130" s="1">
        <v>32.799999999999997</v>
      </c>
      <c r="D1130" s="1">
        <v>1</v>
      </c>
      <c r="E1130" s="1" t="s">
        <v>11</v>
      </c>
      <c r="F1130" s="1" t="s">
        <v>9</v>
      </c>
      <c r="G1130" s="1">
        <v>14358.364369999999</v>
      </c>
      <c r="H1130" t="str">
        <f t="shared" si="17"/>
        <v>30-39</v>
      </c>
    </row>
    <row r="1131" spans="1:8" ht="15.75" customHeight="1">
      <c r="A1131" s="1">
        <v>19</v>
      </c>
      <c r="B1131" s="1" t="s">
        <v>7</v>
      </c>
      <c r="C1131" s="1">
        <v>18.600000000000001</v>
      </c>
      <c r="D1131" s="1">
        <v>0</v>
      </c>
      <c r="E1131" s="1" t="s">
        <v>11</v>
      </c>
      <c r="F1131" s="1" t="s">
        <v>9</v>
      </c>
      <c r="G1131" s="1">
        <v>1728.8969999999999</v>
      </c>
      <c r="H1131" t="str">
        <f t="shared" si="17"/>
        <v>18-29</v>
      </c>
    </row>
    <row r="1132" spans="1:8" ht="15.75" customHeight="1">
      <c r="A1132" s="1">
        <v>39</v>
      </c>
      <c r="B1132" s="1" t="s">
        <v>7</v>
      </c>
      <c r="C1132" s="1">
        <v>23.87</v>
      </c>
      <c r="D1132" s="1">
        <v>5</v>
      </c>
      <c r="E1132" s="1" t="s">
        <v>11</v>
      </c>
      <c r="F1132" s="1" t="s">
        <v>12</v>
      </c>
      <c r="G1132" s="1">
        <v>8582.3022999999994</v>
      </c>
      <c r="H1132" t="str">
        <f t="shared" si="17"/>
        <v>30-39</v>
      </c>
    </row>
    <row r="1133" spans="1:8" ht="15.75" customHeight="1">
      <c r="A1133" s="1">
        <v>27</v>
      </c>
      <c r="B1133" s="1" t="s">
        <v>10</v>
      </c>
      <c r="C1133" s="1">
        <v>45.9</v>
      </c>
      <c r="D1133" s="1">
        <v>2</v>
      </c>
      <c r="E1133" s="1" t="s">
        <v>11</v>
      </c>
      <c r="F1133" s="1" t="s">
        <v>9</v>
      </c>
      <c r="G1133" s="1">
        <v>3693.4279999999999</v>
      </c>
      <c r="H1133" t="str">
        <f t="shared" si="17"/>
        <v>18-29</v>
      </c>
    </row>
    <row r="1134" spans="1:8" ht="15.75" customHeight="1">
      <c r="A1134" s="1">
        <v>57</v>
      </c>
      <c r="B1134" s="1" t="s">
        <v>10</v>
      </c>
      <c r="C1134" s="1">
        <v>40.28</v>
      </c>
      <c r="D1134" s="1">
        <v>0</v>
      </c>
      <c r="E1134" s="1" t="s">
        <v>11</v>
      </c>
      <c r="F1134" s="1" t="s">
        <v>14</v>
      </c>
      <c r="G1134" s="1">
        <v>20709.020339999999</v>
      </c>
      <c r="H1134" t="str">
        <f t="shared" si="17"/>
        <v>50-59</v>
      </c>
    </row>
    <row r="1135" spans="1:8" ht="15.75" customHeight="1">
      <c r="A1135" s="1">
        <v>52</v>
      </c>
      <c r="B1135" s="1" t="s">
        <v>7</v>
      </c>
      <c r="C1135" s="1">
        <v>18.335000000000001</v>
      </c>
      <c r="D1135" s="1">
        <v>0</v>
      </c>
      <c r="E1135" s="1" t="s">
        <v>11</v>
      </c>
      <c r="F1135" s="1" t="s">
        <v>13</v>
      </c>
      <c r="G1135" s="1">
        <v>9991.0376500000002</v>
      </c>
      <c r="H1135" t="str">
        <f t="shared" si="17"/>
        <v>50-59</v>
      </c>
    </row>
    <row r="1136" spans="1:8" ht="15.75" customHeight="1">
      <c r="A1136" s="1">
        <v>28</v>
      </c>
      <c r="B1136" s="1" t="s">
        <v>10</v>
      </c>
      <c r="C1136" s="1">
        <v>33.82</v>
      </c>
      <c r="D1136" s="1">
        <v>0</v>
      </c>
      <c r="E1136" s="1" t="s">
        <v>11</v>
      </c>
      <c r="F1136" s="1" t="s">
        <v>13</v>
      </c>
      <c r="G1136" s="1">
        <v>19673.335729999999</v>
      </c>
      <c r="H1136" t="str">
        <f t="shared" si="17"/>
        <v>18-29</v>
      </c>
    </row>
    <row r="1137" spans="1:8" ht="15.75" customHeight="1">
      <c r="A1137" s="1">
        <v>50</v>
      </c>
      <c r="B1137" s="1" t="s">
        <v>7</v>
      </c>
      <c r="C1137" s="1">
        <v>28.12</v>
      </c>
      <c r="D1137" s="1">
        <v>3</v>
      </c>
      <c r="E1137" s="1" t="s">
        <v>11</v>
      </c>
      <c r="F1137" s="1" t="s">
        <v>13</v>
      </c>
      <c r="G1137" s="1">
        <v>11085.586799999999</v>
      </c>
      <c r="H1137" t="str">
        <f t="shared" si="17"/>
        <v>50-59</v>
      </c>
    </row>
    <row r="1138" spans="1:8" ht="15.75" customHeight="1">
      <c r="A1138" s="1">
        <v>44</v>
      </c>
      <c r="B1138" s="1" t="s">
        <v>7</v>
      </c>
      <c r="C1138" s="1">
        <v>25</v>
      </c>
      <c r="D1138" s="1">
        <v>1</v>
      </c>
      <c r="E1138" s="1" t="s">
        <v>11</v>
      </c>
      <c r="F1138" s="1" t="s">
        <v>9</v>
      </c>
      <c r="G1138" s="1">
        <v>7623.518</v>
      </c>
      <c r="H1138" t="str">
        <f t="shared" si="17"/>
        <v>40-49</v>
      </c>
    </row>
    <row r="1139" spans="1:8" ht="15.75" customHeight="1">
      <c r="A1139" s="1">
        <v>26</v>
      </c>
      <c r="B1139" s="1" t="s">
        <v>7</v>
      </c>
      <c r="C1139" s="1">
        <v>22.23</v>
      </c>
      <c r="D1139" s="1">
        <v>0</v>
      </c>
      <c r="E1139" s="1" t="s">
        <v>11</v>
      </c>
      <c r="F1139" s="1" t="s">
        <v>13</v>
      </c>
      <c r="G1139" s="1">
        <v>3176.2876999999999</v>
      </c>
      <c r="H1139" t="str">
        <f t="shared" si="17"/>
        <v>18-29</v>
      </c>
    </row>
    <row r="1140" spans="1:8" ht="15.75" customHeight="1">
      <c r="A1140" s="1">
        <v>33</v>
      </c>
      <c r="B1140" s="1" t="s">
        <v>10</v>
      </c>
      <c r="C1140" s="1">
        <v>30.25</v>
      </c>
      <c r="D1140" s="1">
        <v>0</v>
      </c>
      <c r="E1140" s="1" t="s">
        <v>11</v>
      </c>
      <c r="F1140" s="1" t="s">
        <v>12</v>
      </c>
      <c r="G1140" s="1">
        <v>3704.3544999999999</v>
      </c>
      <c r="H1140" t="str">
        <f t="shared" si="17"/>
        <v>30-39</v>
      </c>
    </row>
    <row r="1141" spans="1:8" ht="15.75" customHeight="1">
      <c r="A1141" s="1">
        <v>19</v>
      </c>
      <c r="B1141" s="1" t="s">
        <v>7</v>
      </c>
      <c r="C1141" s="1">
        <v>32.49</v>
      </c>
      <c r="D1141" s="1">
        <v>0</v>
      </c>
      <c r="E1141" s="1" t="s">
        <v>8</v>
      </c>
      <c r="F1141" s="1" t="s">
        <v>13</v>
      </c>
      <c r="G1141" s="1">
        <v>36898.733079999998</v>
      </c>
      <c r="H1141" t="str">
        <f t="shared" si="17"/>
        <v>18-29</v>
      </c>
    </row>
    <row r="1142" spans="1:8" ht="15.75" customHeight="1">
      <c r="A1142" s="1">
        <v>50</v>
      </c>
      <c r="B1142" s="1" t="s">
        <v>10</v>
      </c>
      <c r="C1142" s="1">
        <v>37.07</v>
      </c>
      <c r="D1142" s="1">
        <v>1</v>
      </c>
      <c r="E1142" s="1" t="s">
        <v>11</v>
      </c>
      <c r="F1142" s="1" t="s">
        <v>12</v>
      </c>
      <c r="G1142" s="1">
        <v>9048.0272999999997</v>
      </c>
      <c r="H1142" t="str">
        <f t="shared" si="17"/>
        <v>50-59</v>
      </c>
    </row>
    <row r="1143" spans="1:8" ht="15.75" customHeight="1">
      <c r="A1143" s="1">
        <v>41</v>
      </c>
      <c r="B1143" s="1" t="s">
        <v>7</v>
      </c>
      <c r="C1143" s="1">
        <v>32.6</v>
      </c>
      <c r="D1143" s="1">
        <v>3</v>
      </c>
      <c r="E1143" s="1" t="s">
        <v>11</v>
      </c>
      <c r="F1143" s="1" t="s">
        <v>9</v>
      </c>
      <c r="G1143" s="1">
        <v>7954.5169999999998</v>
      </c>
      <c r="H1143" t="str">
        <f t="shared" si="17"/>
        <v>40-49</v>
      </c>
    </row>
    <row r="1144" spans="1:8" ht="15.75" customHeight="1">
      <c r="A1144" s="1">
        <v>52</v>
      </c>
      <c r="B1144" s="1" t="s">
        <v>7</v>
      </c>
      <c r="C1144" s="1">
        <v>24.86</v>
      </c>
      <c r="D1144" s="1">
        <v>0</v>
      </c>
      <c r="E1144" s="1" t="s">
        <v>11</v>
      </c>
      <c r="F1144" s="1" t="s">
        <v>12</v>
      </c>
      <c r="G1144" s="1">
        <v>27117.993780000001</v>
      </c>
      <c r="H1144" t="str">
        <f t="shared" si="17"/>
        <v>50-59</v>
      </c>
    </row>
    <row r="1145" spans="1:8" ht="15.75" customHeight="1">
      <c r="A1145" s="1">
        <v>39</v>
      </c>
      <c r="B1145" s="1" t="s">
        <v>10</v>
      </c>
      <c r="C1145" s="1">
        <v>32.340000000000003</v>
      </c>
      <c r="D1145" s="1">
        <v>2</v>
      </c>
      <c r="E1145" s="1" t="s">
        <v>11</v>
      </c>
      <c r="F1145" s="1" t="s">
        <v>12</v>
      </c>
      <c r="G1145" s="1">
        <v>6338.0756000000001</v>
      </c>
      <c r="H1145" t="str">
        <f t="shared" si="17"/>
        <v>30-39</v>
      </c>
    </row>
    <row r="1146" spans="1:8" ht="15.75" customHeight="1">
      <c r="A1146" s="1">
        <v>50</v>
      </c>
      <c r="B1146" s="1" t="s">
        <v>10</v>
      </c>
      <c r="C1146" s="1">
        <v>32.299999999999997</v>
      </c>
      <c r="D1146" s="1">
        <v>2</v>
      </c>
      <c r="E1146" s="1" t="s">
        <v>11</v>
      </c>
      <c r="F1146" s="1" t="s">
        <v>9</v>
      </c>
      <c r="G1146" s="1">
        <v>9630.3970000000008</v>
      </c>
      <c r="H1146" t="str">
        <f t="shared" si="17"/>
        <v>50-59</v>
      </c>
    </row>
    <row r="1147" spans="1:8" ht="15.75" customHeight="1">
      <c r="A1147" s="1">
        <v>52</v>
      </c>
      <c r="B1147" s="1" t="s">
        <v>10</v>
      </c>
      <c r="C1147" s="1">
        <v>32.774999999999999</v>
      </c>
      <c r="D1147" s="1">
        <v>3</v>
      </c>
      <c r="E1147" s="1" t="s">
        <v>11</v>
      </c>
      <c r="F1147" s="1" t="s">
        <v>13</v>
      </c>
      <c r="G1147" s="1">
        <v>11289.10925</v>
      </c>
      <c r="H1147" t="str">
        <f t="shared" si="17"/>
        <v>50-59</v>
      </c>
    </row>
    <row r="1148" spans="1:8" ht="15.75" customHeight="1">
      <c r="A1148" s="1">
        <v>60</v>
      </c>
      <c r="B1148" s="1" t="s">
        <v>10</v>
      </c>
      <c r="C1148" s="1">
        <v>32.799999999999997</v>
      </c>
      <c r="D1148" s="1">
        <v>0</v>
      </c>
      <c r="E1148" s="1" t="s">
        <v>8</v>
      </c>
      <c r="F1148" s="1" t="s">
        <v>9</v>
      </c>
      <c r="G1148" s="1">
        <v>52590.829389999999</v>
      </c>
      <c r="H1148" t="str">
        <f t="shared" si="17"/>
        <v>60+</v>
      </c>
    </row>
    <row r="1149" spans="1:8" ht="15.75" customHeight="1">
      <c r="A1149" s="1">
        <v>20</v>
      </c>
      <c r="B1149" s="1" t="s">
        <v>7</v>
      </c>
      <c r="C1149" s="1">
        <v>31.92</v>
      </c>
      <c r="D1149" s="1">
        <v>0</v>
      </c>
      <c r="E1149" s="1" t="s">
        <v>11</v>
      </c>
      <c r="F1149" s="1" t="s">
        <v>13</v>
      </c>
      <c r="G1149" s="1">
        <v>2261.5688</v>
      </c>
      <c r="H1149" t="str">
        <f t="shared" si="17"/>
        <v>18-29</v>
      </c>
    </row>
    <row r="1150" spans="1:8" ht="15.75" customHeight="1">
      <c r="A1150" s="1">
        <v>55</v>
      </c>
      <c r="B1150" s="1" t="s">
        <v>10</v>
      </c>
      <c r="C1150" s="1">
        <v>21.5</v>
      </c>
      <c r="D1150" s="1">
        <v>1</v>
      </c>
      <c r="E1150" s="1" t="s">
        <v>11</v>
      </c>
      <c r="F1150" s="1" t="s">
        <v>9</v>
      </c>
      <c r="G1150" s="1">
        <v>10791.96</v>
      </c>
      <c r="H1150" t="str">
        <f t="shared" si="17"/>
        <v>50-59</v>
      </c>
    </row>
    <row r="1151" spans="1:8" ht="15.75" customHeight="1">
      <c r="A1151" s="1">
        <v>42</v>
      </c>
      <c r="B1151" s="1" t="s">
        <v>10</v>
      </c>
      <c r="C1151" s="1">
        <v>34.1</v>
      </c>
      <c r="D1151" s="1">
        <v>0</v>
      </c>
      <c r="E1151" s="1" t="s">
        <v>11</v>
      </c>
      <c r="F1151" s="1" t="s">
        <v>9</v>
      </c>
      <c r="G1151" s="1">
        <v>5979.7309999999998</v>
      </c>
      <c r="H1151" t="str">
        <f t="shared" si="17"/>
        <v>40-49</v>
      </c>
    </row>
    <row r="1152" spans="1:8" ht="15.75" customHeight="1">
      <c r="A1152" s="1">
        <v>18</v>
      </c>
      <c r="B1152" s="1" t="s">
        <v>7</v>
      </c>
      <c r="C1152" s="1">
        <v>30.305</v>
      </c>
      <c r="D1152" s="1">
        <v>0</v>
      </c>
      <c r="E1152" s="1" t="s">
        <v>11</v>
      </c>
      <c r="F1152" s="1" t="s">
        <v>14</v>
      </c>
      <c r="G1152" s="1">
        <v>2203.7359499999998</v>
      </c>
      <c r="H1152" t="str">
        <f t="shared" si="17"/>
        <v>18-29</v>
      </c>
    </row>
    <row r="1153" spans="1:8" ht="15.75" customHeight="1">
      <c r="A1153" s="1">
        <v>58</v>
      </c>
      <c r="B1153" s="1" t="s">
        <v>7</v>
      </c>
      <c r="C1153" s="1">
        <v>36.479999999999997</v>
      </c>
      <c r="D1153" s="1">
        <v>0</v>
      </c>
      <c r="E1153" s="1" t="s">
        <v>11</v>
      </c>
      <c r="F1153" s="1" t="s">
        <v>13</v>
      </c>
      <c r="G1153" s="1">
        <v>12235.8392</v>
      </c>
      <c r="H1153" t="str">
        <f t="shared" si="17"/>
        <v>50-59</v>
      </c>
    </row>
    <row r="1154" spans="1:8" ht="15.75" customHeight="1">
      <c r="A1154" s="1">
        <v>43</v>
      </c>
      <c r="B1154" s="1" t="s">
        <v>7</v>
      </c>
      <c r="C1154" s="1">
        <v>32.56</v>
      </c>
      <c r="D1154" s="1">
        <v>3</v>
      </c>
      <c r="E1154" s="1" t="s">
        <v>8</v>
      </c>
      <c r="F1154" s="1" t="s">
        <v>12</v>
      </c>
      <c r="G1154" s="1">
        <v>40941.285400000001</v>
      </c>
      <c r="H1154" t="str">
        <f t="shared" si="17"/>
        <v>40-49</v>
      </c>
    </row>
    <row r="1155" spans="1:8" ht="15.75" customHeight="1">
      <c r="A1155" s="1">
        <v>35</v>
      </c>
      <c r="B1155" s="1" t="s">
        <v>7</v>
      </c>
      <c r="C1155" s="1">
        <v>35.814999999999998</v>
      </c>
      <c r="D1155" s="1">
        <v>1</v>
      </c>
      <c r="E1155" s="1" t="s">
        <v>11</v>
      </c>
      <c r="F1155" s="1" t="s">
        <v>13</v>
      </c>
      <c r="G1155" s="1">
        <v>5630.4578499999998</v>
      </c>
      <c r="H1155" t="str">
        <f t="shared" ref="H1155:H1218" si="18">IF(A1155&lt;30,"18-29",IF(A1155&lt;40,"30-39",IF(A1155&lt;50,"40-49",IF(A1155&lt;60,"50-59","60+"))))</f>
        <v>30-39</v>
      </c>
    </row>
    <row r="1156" spans="1:8" ht="15.75" customHeight="1">
      <c r="A1156" s="1">
        <v>48</v>
      </c>
      <c r="B1156" s="1" t="s">
        <v>7</v>
      </c>
      <c r="C1156" s="1">
        <v>27.93</v>
      </c>
      <c r="D1156" s="1">
        <v>4</v>
      </c>
      <c r="E1156" s="1" t="s">
        <v>11</v>
      </c>
      <c r="F1156" s="1" t="s">
        <v>13</v>
      </c>
      <c r="G1156" s="1">
        <v>11015.1747</v>
      </c>
      <c r="H1156" t="str">
        <f t="shared" si="18"/>
        <v>40-49</v>
      </c>
    </row>
    <row r="1157" spans="1:8" ht="15.75" customHeight="1">
      <c r="A1157" s="1">
        <v>36</v>
      </c>
      <c r="B1157" s="1" t="s">
        <v>7</v>
      </c>
      <c r="C1157" s="1">
        <v>22.135000000000002</v>
      </c>
      <c r="D1157" s="1">
        <v>3</v>
      </c>
      <c r="E1157" s="1" t="s">
        <v>11</v>
      </c>
      <c r="F1157" s="1" t="s">
        <v>14</v>
      </c>
      <c r="G1157" s="1">
        <v>7228.2156500000001</v>
      </c>
      <c r="H1157" t="str">
        <f t="shared" si="18"/>
        <v>30-39</v>
      </c>
    </row>
    <row r="1158" spans="1:8" ht="15.75" customHeight="1">
      <c r="A1158" s="1">
        <v>19</v>
      </c>
      <c r="B1158" s="1" t="s">
        <v>10</v>
      </c>
      <c r="C1158" s="1">
        <v>44.88</v>
      </c>
      <c r="D1158" s="1">
        <v>0</v>
      </c>
      <c r="E1158" s="1" t="s">
        <v>8</v>
      </c>
      <c r="F1158" s="1" t="s">
        <v>12</v>
      </c>
      <c r="G1158" s="1">
        <v>39722.746200000001</v>
      </c>
      <c r="H1158" t="str">
        <f t="shared" si="18"/>
        <v>18-29</v>
      </c>
    </row>
    <row r="1159" spans="1:8" ht="15.75" customHeight="1">
      <c r="A1159" s="1">
        <v>23</v>
      </c>
      <c r="B1159" s="1" t="s">
        <v>7</v>
      </c>
      <c r="C1159" s="1">
        <v>23.18</v>
      </c>
      <c r="D1159" s="1">
        <v>2</v>
      </c>
      <c r="E1159" s="1" t="s">
        <v>11</v>
      </c>
      <c r="F1159" s="1" t="s">
        <v>13</v>
      </c>
      <c r="G1159" s="1">
        <v>14426.073850000001</v>
      </c>
      <c r="H1159" t="str">
        <f t="shared" si="18"/>
        <v>18-29</v>
      </c>
    </row>
    <row r="1160" spans="1:8" ht="15.75" customHeight="1">
      <c r="A1160" s="1">
        <v>20</v>
      </c>
      <c r="B1160" s="1" t="s">
        <v>7</v>
      </c>
      <c r="C1160" s="1">
        <v>30.59</v>
      </c>
      <c r="D1160" s="1">
        <v>0</v>
      </c>
      <c r="E1160" s="1" t="s">
        <v>11</v>
      </c>
      <c r="F1160" s="1" t="s">
        <v>14</v>
      </c>
      <c r="G1160" s="1">
        <v>2459.7201</v>
      </c>
      <c r="H1160" t="str">
        <f t="shared" si="18"/>
        <v>18-29</v>
      </c>
    </row>
    <row r="1161" spans="1:8" ht="15.75" customHeight="1">
      <c r="A1161" s="1">
        <v>32</v>
      </c>
      <c r="B1161" s="1" t="s">
        <v>7</v>
      </c>
      <c r="C1161" s="1">
        <v>41.1</v>
      </c>
      <c r="D1161" s="1">
        <v>0</v>
      </c>
      <c r="E1161" s="1" t="s">
        <v>11</v>
      </c>
      <c r="F1161" s="1" t="s">
        <v>9</v>
      </c>
      <c r="G1161" s="1">
        <v>3989.8409999999999</v>
      </c>
      <c r="H1161" t="str">
        <f t="shared" si="18"/>
        <v>30-39</v>
      </c>
    </row>
    <row r="1162" spans="1:8" ht="15.75" customHeight="1">
      <c r="A1162" s="1">
        <v>43</v>
      </c>
      <c r="B1162" s="1" t="s">
        <v>7</v>
      </c>
      <c r="C1162" s="1">
        <v>34.58</v>
      </c>
      <c r="D1162" s="1">
        <v>1</v>
      </c>
      <c r="E1162" s="1" t="s">
        <v>11</v>
      </c>
      <c r="F1162" s="1" t="s">
        <v>13</v>
      </c>
      <c r="G1162" s="1">
        <v>7727.2532000000001</v>
      </c>
      <c r="H1162" t="str">
        <f t="shared" si="18"/>
        <v>40-49</v>
      </c>
    </row>
    <row r="1163" spans="1:8" ht="15.75" customHeight="1">
      <c r="A1163" s="1">
        <v>34</v>
      </c>
      <c r="B1163" s="1" t="s">
        <v>10</v>
      </c>
      <c r="C1163" s="1">
        <v>42.13</v>
      </c>
      <c r="D1163" s="1">
        <v>2</v>
      </c>
      <c r="E1163" s="1" t="s">
        <v>11</v>
      </c>
      <c r="F1163" s="1" t="s">
        <v>12</v>
      </c>
      <c r="G1163" s="1">
        <v>5124.1886999999997</v>
      </c>
      <c r="H1163" t="str">
        <f t="shared" si="18"/>
        <v>30-39</v>
      </c>
    </row>
    <row r="1164" spans="1:8" ht="15.75" customHeight="1">
      <c r="A1164" s="1">
        <v>30</v>
      </c>
      <c r="B1164" s="1" t="s">
        <v>10</v>
      </c>
      <c r="C1164" s="1">
        <v>38.83</v>
      </c>
      <c r="D1164" s="1">
        <v>1</v>
      </c>
      <c r="E1164" s="1" t="s">
        <v>11</v>
      </c>
      <c r="F1164" s="1" t="s">
        <v>12</v>
      </c>
      <c r="G1164" s="1">
        <v>18963.171920000001</v>
      </c>
      <c r="H1164" t="str">
        <f t="shared" si="18"/>
        <v>30-39</v>
      </c>
    </row>
    <row r="1165" spans="1:8" ht="15.75" customHeight="1">
      <c r="A1165" s="1">
        <v>18</v>
      </c>
      <c r="B1165" s="1" t="s">
        <v>7</v>
      </c>
      <c r="C1165" s="1">
        <v>28.215</v>
      </c>
      <c r="D1165" s="1">
        <v>0</v>
      </c>
      <c r="E1165" s="1" t="s">
        <v>11</v>
      </c>
      <c r="F1165" s="1" t="s">
        <v>14</v>
      </c>
      <c r="G1165" s="1">
        <v>2200.8308499999998</v>
      </c>
      <c r="H1165" t="str">
        <f t="shared" si="18"/>
        <v>18-29</v>
      </c>
    </row>
    <row r="1166" spans="1:8" ht="15.75" customHeight="1">
      <c r="A1166" s="1">
        <v>41</v>
      </c>
      <c r="B1166" s="1" t="s">
        <v>7</v>
      </c>
      <c r="C1166" s="1">
        <v>28.31</v>
      </c>
      <c r="D1166" s="1">
        <v>1</v>
      </c>
      <c r="E1166" s="1" t="s">
        <v>11</v>
      </c>
      <c r="F1166" s="1" t="s">
        <v>13</v>
      </c>
      <c r="G1166" s="1">
        <v>7153.5538999999999</v>
      </c>
      <c r="H1166" t="str">
        <f t="shared" si="18"/>
        <v>40-49</v>
      </c>
    </row>
    <row r="1167" spans="1:8" ht="15.75" customHeight="1">
      <c r="A1167" s="1">
        <v>35</v>
      </c>
      <c r="B1167" s="1" t="s">
        <v>7</v>
      </c>
      <c r="C1167" s="1">
        <v>26.125</v>
      </c>
      <c r="D1167" s="1">
        <v>0</v>
      </c>
      <c r="E1167" s="1" t="s">
        <v>11</v>
      </c>
      <c r="F1167" s="1" t="s">
        <v>14</v>
      </c>
      <c r="G1167" s="1">
        <v>5227.9887500000004</v>
      </c>
      <c r="H1167" t="str">
        <f t="shared" si="18"/>
        <v>30-39</v>
      </c>
    </row>
    <row r="1168" spans="1:8" ht="15.75" customHeight="1">
      <c r="A1168" s="1">
        <v>57</v>
      </c>
      <c r="B1168" s="1" t="s">
        <v>10</v>
      </c>
      <c r="C1168" s="1">
        <v>40.369999999999997</v>
      </c>
      <c r="D1168" s="1">
        <v>0</v>
      </c>
      <c r="E1168" s="1" t="s">
        <v>11</v>
      </c>
      <c r="F1168" s="1" t="s">
        <v>12</v>
      </c>
      <c r="G1168" s="1">
        <v>10982.5013</v>
      </c>
      <c r="H1168" t="str">
        <f t="shared" si="18"/>
        <v>50-59</v>
      </c>
    </row>
    <row r="1169" spans="1:8" ht="15.75" customHeight="1">
      <c r="A1169" s="1">
        <v>29</v>
      </c>
      <c r="B1169" s="1" t="s">
        <v>7</v>
      </c>
      <c r="C1169" s="1">
        <v>24.6</v>
      </c>
      <c r="D1169" s="1">
        <v>2</v>
      </c>
      <c r="E1169" s="1" t="s">
        <v>11</v>
      </c>
      <c r="F1169" s="1" t="s">
        <v>9</v>
      </c>
      <c r="G1169" s="1">
        <v>4529.4769999999999</v>
      </c>
      <c r="H1169" t="str">
        <f t="shared" si="18"/>
        <v>18-29</v>
      </c>
    </row>
    <row r="1170" spans="1:8" ht="15.75" customHeight="1">
      <c r="A1170" s="1">
        <v>32</v>
      </c>
      <c r="B1170" s="1" t="s">
        <v>10</v>
      </c>
      <c r="C1170" s="1">
        <v>35.200000000000003</v>
      </c>
      <c r="D1170" s="1">
        <v>2</v>
      </c>
      <c r="E1170" s="1" t="s">
        <v>11</v>
      </c>
      <c r="F1170" s="1" t="s">
        <v>9</v>
      </c>
      <c r="G1170" s="1">
        <v>4670.6400000000003</v>
      </c>
      <c r="H1170" t="str">
        <f t="shared" si="18"/>
        <v>30-39</v>
      </c>
    </row>
    <row r="1171" spans="1:8" ht="15.75" customHeight="1">
      <c r="A1171" s="1">
        <v>37</v>
      </c>
      <c r="B1171" s="1" t="s">
        <v>7</v>
      </c>
      <c r="C1171" s="1">
        <v>34.104999999999997</v>
      </c>
      <c r="D1171" s="1">
        <v>1</v>
      </c>
      <c r="E1171" s="1" t="s">
        <v>11</v>
      </c>
      <c r="F1171" s="1" t="s">
        <v>13</v>
      </c>
      <c r="G1171" s="1">
        <v>6112.3529500000004</v>
      </c>
      <c r="H1171" t="str">
        <f t="shared" si="18"/>
        <v>30-39</v>
      </c>
    </row>
    <row r="1172" spans="1:8" ht="15.75" customHeight="1">
      <c r="A1172" s="1">
        <v>18</v>
      </c>
      <c r="B1172" s="1" t="s">
        <v>10</v>
      </c>
      <c r="C1172" s="1">
        <v>27.36</v>
      </c>
      <c r="D1172" s="1">
        <v>1</v>
      </c>
      <c r="E1172" s="1" t="s">
        <v>8</v>
      </c>
      <c r="F1172" s="1" t="s">
        <v>14</v>
      </c>
      <c r="G1172" s="1">
        <v>17178.682400000002</v>
      </c>
      <c r="H1172" t="str">
        <f t="shared" si="18"/>
        <v>18-29</v>
      </c>
    </row>
    <row r="1173" spans="1:8" ht="15.75" customHeight="1">
      <c r="A1173" s="1">
        <v>43</v>
      </c>
      <c r="B1173" s="1" t="s">
        <v>7</v>
      </c>
      <c r="C1173" s="1">
        <v>26.7</v>
      </c>
      <c r="D1173" s="1">
        <v>2</v>
      </c>
      <c r="E1173" s="1" t="s">
        <v>8</v>
      </c>
      <c r="F1173" s="1" t="s">
        <v>9</v>
      </c>
      <c r="G1173" s="1">
        <v>22478.6</v>
      </c>
      <c r="H1173" t="str">
        <f t="shared" si="18"/>
        <v>40-49</v>
      </c>
    </row>
    <row r="1174" spans="1:8" ht="15.75" customHeight="1">
      <c r="A1174" s="1">
        <v>56</v>
      </c>
      <c r="B1174" s="1" t="s">
        <v>7</v>
      </c>
      <c r="C1174" s="1">
        <v>41.91</v>
      </c>
      <c r="D1174" s="1">
        <v>0</v>
      </c>
      <c r="E1174" s="1" t="s">
        <v>11</v>
      </c>
      <c r="F1174" s="1" t="s">
        <v>12</v>
      </c>
      <c r="G1174" s="1">
        <v>11093.6229</v>
      </c>
      <c r="H1174" t="str">
        <f t="shared" si="18"/>
        <v>50-59</v>
      </c>
    </row>
    <row r="1175" spans="1:8" ht="15.75" customHeight="1">
      <c r="A1175" s="1">
        <v>38</v>
      </c>
      <c r="B1175" s="1" t="s">
        <v>10</v>
      </c>
      <c r="C1175" s="1">
        <v>29.26</v>
      </c>
      <c r="D1175" s="1">
        <v>2</v>
      </c>
      <c r="E1175" s="1" t="s">
        <v>11</v>
      </c>
      <c r="F1175" s="1" t="s">
        <v>13</v>
      </c>
      <c r="G1175" s="1">
        <v>6457.8433999999997</v>
      </c>
      <c r="H1175" t="str">
        <f t="shared" si="18"/>
        <v>30-39</v>
      </c>
    </row>
    <row r="1176" spans="1:8" ht="15.75" customHeight="1">
      <c r="A1176" s="1">
        <v>29</v>
      </c>
      <c r="B1176" s="1" t="s">
        <v>10</v>
      </c>
      <c r="C1176" s="1">
        <v>32.11</v>
      </c>
      <c r="D1176" s="1">
        <v>2</v>
      </c>
      <c r="E1176" s="1" t="s">
        <v>11</v>
      </c>
      <c r="F1176" s="1" t="s">
        <v>13</v>
      </c>
      <c r="G1176" s="1">
        <v>4433.9159</v>
      </c>
      <c r="H1176" t="str">
        <f t="shared" si="18"/>
        <v>18-29</v>
      </c>
    </row>
    <row r="1177" spans="1:8" ht="15.75" customHeight="1">
      <c r="A1177" s="1">
        <v>22</v>
      </c>
      <c r="B1177" s="1" t="s">
        <v>7</v>
      </c>
      <c r="C1177" s="1">
        <v>27.1</v>
      </c>
      <c r="D1177" s="1">
        <v>0</v>
      </c>
      <c r="E1177" s="1" t="s">
        <v>11</v>
      </c>
      <c r="F1177" s="1" t="s">
        <v>9</v>
      </c>
      <c r="G1177" s="1">
        <v>2154.3609999999999</v>
      </c>
      <c r="H1177" t="str">
        <f t="shared" si="18"/>
        <v>18-29</v>
      </c>
    </row>
    <row r="1178" spans="1:8" ht="15.75" customHeight="1">
      <c r="A1178" s="1">
        <v>52</v>
      </c>
      <c r="B1178" s="1" t="s">
        <v>7</v>
      </c>
      <c r="C1178" s="1">
        <v>24.13</v>
      </c>
      <c r="D1178" s="1">
        <v>1</v>
      </c>
      <c r="E1178" s="1" t="s">
        <v>8</v>
      </c>
      <c r="F1178" s="1" t="s">
        <v>13</v>
      </c>
      <c r="G1178" s="1">
        <v>23887.662700000001</v>
      </c>
      <c r="H1178" t="str">
        <f t="shared" si="18"/>
        <v>50-59</v>
      </c>
    </row>
    <row r="1179" spans="1:8" ht="15.75" customHeight="1">
      <c r="A1179" s="1">
        <v>40</v>
      </c>
      <c r="B1179" s="1" t="s">
        <v>7</v>
      </c>
      <c r="C1179" s="1">
        <v>27.4</v>
      </c>
      <c r="D1179" s="1">
        <v>1</v>
      </c>
      <c r="E1179" s="1" t="s">
        <v>11</v>
      </c>
      <c r="F1179" s="1" t="s">
        <v>9</v>
      </c>
      <c r="G1179" s="1">
        <v>6496.8860000000004</v>
      </c>
      <c r="H1179" t="str">
        <f t="shared" si="18"/>
        <v>40-49</v>
      </c>
    </row>
    <row r="1180" spans="1:8" ht="15.75" customHeight="1">
      <c r="A1180" s="1">
        <v>23</v>
      </c>
      <c r="B1180" s="1" t="s">
        <v>7</v>
      </c>
      <c r="C1180" s="1">
        <v>34.865000000000002</v>
      </c>
      <c r="D1180" s="1">
        <v>0</v>
      </c>
      <c r="E1180" s="1" t="s">
        <v>11</v>
      </c>
      <c r="F1180" s="1" t="s">
        <v>14</v>
      </c>
      <c r="G1180" s="1">
        <v>2899.4893499999998</v>
      </c>
      <c r="H1180" t="str">
        <f t="shared" si="18"/>
        <v>18-29</v>
      </c>
    </row>
    <row r="1181" spans="1:8" ht="15.75" customHeight="1">
      <c r="A1181" s="1">
        <v>31</v>
      </c>
      <c r="B1181" s="1" t="s">
        <v>10</v>
      </c>
      <c r="C1181" s="1">
        <v>29.81</v>
      </c>
      <c r="D1181" s="1">
        <v>0</v>
      </c>
      <c r="E1181" s="1" t="s">
        <v>8</v>
      </c>
      <c r="F1181" s="1" t="s">
        <v>12</v>
      </c>
      <c r="G1181" s="1">
        <v>19350.368900000001</v>
      </c>
      <c r="H1181" t="str">
        <f t="shared" si="18"/>
        <v>30-39</v>
      </c>
    </row>
    <row r="1182" spans="1:8" ht="15.75" customHeight="1">
      <c r="A1182" s="1">
        <v>42</v>
      </c>
      <c r="B1182" s="1" t="s">
        <v>7</v>
      </c>
      <c r="C1182" s="1">
        <v>41.325000000000003</v>
      </c>
      <c r="D1182" s="1">
        <v>1</v>
      </c>
      <c r="E1182" s="1" t="s">
        <v>11</v>
      </c>
      <c r="F1182" s="1" t="s">
        <v>14</v>
      </c>
      <c r="G1182" s="1">
        <v>7650.7737500000003</v>
      </c>
      <c r="H1182" t="str">
        <f t="shared" si="18"/>
        <v>40-49</v>
      </c>
    </row>
    <row r="1183" spans="1:8" ht="15.75" customHeight="1">
      <c r="A1183" s="1">
        <v>24</v>
      </c>
      <c r="B1183" s="1" t="s">
        <v>7</v>
      </c>
      <c r="C1183" s="1">
        <v>29.925000000000001</v>
      </c>
      <c r="D1183" s="1">
        <v>0</v>
      </c>
      <c r="E1183" s="1" t="s">
        <v>11</v>
      </c>
      <c r="F1183" s="1" t="s">
        <v>13</v>
      </c>
      <c r="G1183" s="1">
        <v>2850.6837500000001</v>
      </c>
      <c r="H1183" t="str">
        <f t="shared" si="18"/>
        <v>18-29</v>
      </c>
    </row>
    <row r="1184" spans="1:8" ht="15.75" customHeight="1">
      <c r="A1184" s="1">
        <v>25</v>
      </c>
      <c r="B1184" s="1" t="s">
        <v>7</v>
      </c>
      <c r="C1184" s="1">
        <v>30.3</v>
      </c>
      <c r="D1184" s="1">
        <v>0</v>
      </c>
      <c r="E1184" s="1" t="s">
        <v>11</v>
      </c>
      <c r="F1184" s="1" t="s">
        <v>9</v>
      </c>
      <c r="G1184" s="1">
        <v>2632.9920000000002</v>
      </c>
      <c r="H1184" t="str">
        <f t="shared" si="18"/>
        <v>18-29</v>
      </c>
    </row>
    <row r="1185" spans="1:8" ht="15.75" customHeight="1">
      <c r="A1185" s="1">
        <v>48</v>
      </c>
      <c r="B1185" s="1" t="s">
        <v>7</v>
      </c>
      <c r="C1185" s="1">
        <v>27.36</v>
      </c>
      <c r="D1185" s="1">
        <v>1</v>
      </c>
      <c r="E1185" s="1" t="s">
        <v>11</v>
      </c>
      <c r="F1185" s="1" t="s">
        <v>14</v>
      </c>
      <c r="G1185" s="1">
        <v>9447.3824000000004</v>
      </c>
      <c r="H1185" t="str">
        <f t="shared" si="18"/>
        <v>40-49</v>
      </c>
    </row>
    <row r="1186" spans="1:8" ht="15.75" customHeight="1">
      <c r="A1186" s="1">
        <v>23</v>
      </c>
      <c r="B1186" s="1" t="s">
        <v>7</v>
      </c>
      <c r="C1186" s="1">
        <v>28.49</v>
      </c>
      <c r="D1186" s="1">
        <v>1</v>
      </c>
      <c r="E1186" s="1" t="s">
        <v>8</v>
      </c>
      <c r="F1186" s="1" t="s">
        <v>12</v>
      </c>
      <c r="G1186" s="1">
        <v>18328.238099999999</v>
      </c>
      <c r="H1186" t="str">
        <f t="shared" si="18"/>
        <v>18-29</v>
      </c>
    </row>
    <row r="1187" spans="1:8" ht="15.75" customHeight="1">
      <c r="A1187" s="1">
        <v>45</v>
      </c>
      <c r="B1187" s="1" t="s">
        <v>10</v>
      </c>
      <c r="C1187" s="1">
        <v>23.56</v>
      </c>
      <c r="D1187" s="1">
        <v>2</v>
      </c>
      <c r="E1187" s="1" t="s">
        <v>11</v>
      </c>
      <c r="F1187" s="1" t="s">
        <v>14</v>
      </c>
      <c r="G1187" s="1">
        <v>8603.8233999999993</v>
      </c>
      <c r="H1187" t="str">
        <f t="shared" si="18"/>
        <v>40-49</v>
      </c>
    </row>
    <row r="1188" spans="1:8" ht="15.75" customHeight="1">
      <c r="A1188" s="1">
        <v>20</v>
      </c>
      <c r="B1188" s="1" t="s">
        <v>10</v>
      </c>
      <c r="C1188" s="1">
        <v>35.625</v>
      </c>
      <c r="D1188" s="1">
        <v>3</v>
      </c>
      <c r="E1188" s="1" t="s">
        <v>8</v>
      </c>
      <c r="F1188" s="1" t="s">
        <v>13</v>
      </c>
      <c r="G1188" s="1">
        <v>37465.34375</v>
      </c>
      <c r="H1188" t="str">
        <f t="shared" si="18"/>
        <v>18-29</v>
      </c>
    </row>
    <row r="1189" spans="1:8" ht="15.75" customHeight="1">
      <c r="A1189" s="1">
        <v>62</v>
      </c>
      <c r="B1189" s="1" t="s">
        <v>7</v>
      </c>
      <c r="C1189" s="1">
        <v>32.68</v>
      </c>
      <c r="D1189" s="1">
        <v>0</v>
      </c>
      <c r="E1189" s="1" t="s">
        <v>11</v>
      </c>
      <c r="F1189" s="1" t="s">
        <v>13</v>
      </c>
      <c r="G1189" s="1">
        <v>13844.797200000001</v>
      </c>
      <c r="H1189" t="str">
        <f t="shared" si="18"/>
        <v>60+</v>
      </c>
    </row>
    <row r="1190" spans="1:8" ht="15.75" customHeight="1">
      <c r="A1190" s="1">
        <v>43</v>
      </c>
      <c r="B1190" s="1" t="s">
        <v>7</v>
      </c>
      <c r="C1190" s="1">
        <v>25.27</v>
      </c>
      <c r="D1190" s="1">
        <v>1</v>
      </c>
      <c r="E1190" s="1" t="s">
        <v>8</v>
      </c>
      <c r="F1190" s="1" t="s">
        <v>14</v>
      </c>
      <c r="G1190" s="1">
        <v>21771.3423</v>
      </c>
      <c r="H1190" t="str">
        <f t="shared" si="18"/>
        <v>40-49</v>
      </c>
    </row>
    <row r="1191" spans="1:8" ht="15.75" customHeight="1">
      <c r="A1191" s="1">
        <v>23</v>
      </c>
      <c r="B1191" s="1" t="s">
        <v>7</v>
      </c>
      <c r="C1191" s="1">
        <v>28</v>
      </c>
      <c r="D1191" s="1">
        <v>0</v>
      </c>
      <c r="E1191" s="1" t="s">
        <v>11</v>
      </c>
      <c r="F1191" s="1" t="s">
        <v>9</v>
      </c>
      <c r="G1191" s="1">
        <v>13126.677449999999</v>
      </c>
      <c r="H1191" t="str">
        <f t="shared" si="18"/>
        <v>18-29</v>
      </c>
    </row>
    <row r="1192" spans="1:8" ht="15.75" customHeight="1">
      <c r="A1192" s="1">
        <v>31</v>
      </c>
      <c r="B1192" s="1" t="s">
        <v>7</v>
      </c>
      <c r="C1192" s="1">
        <v>32.774999999999999</v>
      </c>
      <c r="D1192" s="1">
        <v>2</v>
      </c>
      <c r="E1192" s="1" t="s">
        <v>11</v>
      </c>
      <c r="F1192" s="1" t="s">
        <v>13</v>
      </c>
      <c r="G1192" s="1">
        <v>5327.4002499999997</v>
      </c>
      <c r="H1192" t="str">
        <f t="shared" si="18"/>
        <v>30-39</v>
      </c>
    </row>
    <row r="1193" spans="1:8" ht="15.75" customHeight="1">
      <c r="A1193" s="1">
        <v>41</v>
      </c>
      <c r="B1193" s="1" t="s">
        <v>7</v>
      </c>
      <c r="C1193" s="1">
        <v>21.754999999999999</v>
      </c>
      <c r="D1193" s="1">
        <v>1</v>
      </c>
      <c r="E1193" s="1" t="s">
        <v>11</v>
      </c>
      <c r="F1193" s="1" t="s">
        <v>14</v>
      </c>
      <c r="G1193" s="1">
        <v>13725.47184</v>
      </c>
      <c r="H1193" t="str">
        <f t="shared" si="18"/>
        <v>40-49</v>
      </c>
    </row>
    <row r="1194" spans="1:8" ht="15.75" customHeight="1">
      <c r="A1194" s="1">
        <v>58</v>
      </c>
      <c r="B1194" s="1" t="s">
        <v>7</v>
      </c>
      <c r="C1194" s="1">
        <v>32.395000000000003</v>
      </c>
      <c r="D1194" s="1">
        <v>1</v>
      </c>
      <c r="E1194" s="1" t="s">
        <v>11</v>
      </c>
      <c r="F1194" s="1" t="s">
        <v>14</v>
      </c>
      <c r="G1194" s="1">
        <v>13019.161050000001</v>
      </c>
      <c r="H1194" t="str">
        <f t="shared" si="18"/>
        <v>50-59</v>
      </c>
    </row>
    <row r="1195" spans="1:8" ht="15.75" customHeight="1">
      <c r="A1195" s="1">
        <v>48</v>
      </c>
      <c r="B1195" s="1" t="s">
        <v>7</v>
      </c>
      <c r="C1195" s="1">
        <v>36.575000000000003</v>
      </c>
      <c r="D1195" s="1">
        <v>0</v>
      </c>
      <c r="E1195" s="1" t="s">
        <v>11</v>
      </c>
      <c r="F1195" s="1" t="s">
        <v>13</v>
      </c>
      <c r="G1195" s="1">
        <v>8671.1912499999999</v>
      </c>
      <c r="H1195" t="str">
        <f t="shared" si="18"/>
        <v>40-49</v>
      </c>
    </row>
    <row r="1196" spans="1:8" ht="15.75" customHeight="1">
      <c r="A1196" s="1">
        <v>31</v>
      </c>
      <c r="B1196" s="1" t="s">
        <v>7</v>
      </c>
      <c r="C1196" s="1">
        <v>21.754999999999999</v>
      </c>
      <c r="D1196" s="1">
        <v>0</v>
      </c>
      <c r="E1196" s="1" t="s">
        <v>11</v>
      </c>
      <c r="F1196" s="1" t="s">
        <v>13</v>
      </c>
      <c r="G1196" s="1">
        <v>4134.0824499999999</v>
      </c>
      <c r="H1196" t="str">
        <f t="shared" si="18"/>
        <v>30-39</v>
      </c>
    </row>
    <row r="1197" spans="1:8" ht="15.75" customHeight="1">
      <c r="A1197" s="1">
        <v>19</v>
      </c>
      <c r="B1197" s="1" t="s">
        <v>7</v>
      </c>
      <c r="C1197" s="1">
        <v>27.93</v>
      </c>
      <c r="D1197" s="1">
        <v>3</v>
      </c>
      <c r="E1197" s="1" t="s">
        <v>11</v>
      </c>
      <c r="F1197" s="1" t="s">
        <v>13</v>
      </c>
      <c r="G1197" s="1">
        <v>18838.703659999999</v>
      </c>
      <c r="H1197" t="str">
        <f t="shared" si="18"/>
        <v>18-29</v>
      </c>
    </row>
    <row r="1198" spans="1:8" ht="15.75" customHeight="1">
      <c r="A1198" s="1">
        <v>19</v>
      </c>
      <c r="B1198" s="1" t="s">
        <v>7</v>
      </c>
      <c r="C1198" s="1">
        <v>30.02</v>
      </c>
      <c r="D1198" s="1">
        <v>0</v>
      </c>
      <c r="E1198" s="1" t="s">
        <v>8</v>
      </c>
      <c r="F1198" s="1" t="s">
        <v>13</v>
      </c>
      <c r="G1198" s="1">
        <v>33307.550799999997</v>
      </c>
      <c r="H1198" t="str">
        <f t="shared" si="18"/>
        <v>18-29</v>
      </c>
    </row>
    <row r="1199" spans="1:8" ht="15.75" customHeight="1">
      <c r="A1199" s="1">
        <v>41</v>
      </c>
      <c r="B1199" s="1" t="s">
        <v>10</v>
      </c>
      <c r="C1199" s="1">
        <v>33.549999999999997</v>
      </c>
      <c r="D1199" s="1">
        <v>0</v>
      </c>
      <c r="E1199" s="1" t="s">
        <v>11</v>
      </c>
      <c r="F1199" s="1" t="s">
        <v>12</v>
      </c>
      <c r="G1199" s="1">
        <v>5699.8374999999996</v>
      </c>
      <c r="H1199" t="str">
        <f t="shared" si="18"/>
        <v>40-49</v>
      </c>
    </row>
    <row r="1200" spans="1:8" ht="15.75" customHeight="1">
      <c r="A1200" s="1">
        <v>40</v>
      </c>
      <c r="B1200" s="1" t="s">
        <v>10</v>
      </c>
      <c r="C1200" s="1">
        <v>29.355</v>
      </c>
      <c r="D1200" s="1">
        <v>1</v>
      </c>
      <c r="E1200" s="1" t="s">
        <v>11</v>
      </c>
      <c r="F1200" s="1" t="s">
        <v>13</v>
      </c>
      <c r="G1200" s="1">
        <v>6393.6034499999996</v>
      </c>
      <c r="H1200" t="str">
        <f t="shared" si="18"/>
        <v>40-49</v>
      </c>
    </row>
    <row r="1201" spans="1:8" ht="15.75" customHeight="1">
      <c r="A1201" s="1">
        <v>31</v>
      </c>
      <c r="B1201" s="1" t="s">
        <v>7</v>
      </c>
      <c r="C1201" s="1">
        <v>25.8</v>
      </c>
      <c r="D1201" s="1">
        <v>2</v>
      </c>
      <c r="E1201" s="1" t="s">
        <v>11</v>
      </c>
      <c r="F1201" s="1" t="s">
        <v>9</v>
      </c>
      <c r="G1201" s="1">
        <v>4934.7049999999999</v>
      </c>
      <c r="H1201" t="str">
        <f t="shared" si="18"/>
        <v>30-39</v>
      </c>
    </row>
    <row r="1202" spans="1:8" ht="15.75" customHeight="1">
      <c r="A1202" s="1">
        <v>37</v>
      </c>
      <c r="B1202" s="1" t="s">
        <v>10</v>
      </c>
      <c r="C1202" s="1">
        <v>24.32</v>
      </c>
      <c r="D1202" s="1">
        <v>2</v>
      </c>
      <c r="E1202" s="1" t="s">
        <v>11</v>
      </c>
      <c r="F1202" s="1" t="s">
        <v>13</v>
      </c>
      <c r="G1202" s="1">
        <v>6198.7518</v>
      </c>
      <c r="H1202" t="str">
        <f t="shared" si="18"/>
        <v>30-39</v>
      </c>
    </row>
    <row r="1203" spans="1:8" ht="15.75" customHeight="1">
      <c r="A1203" s="1">
        <v>46</v>
      </c>
      <c r="B1203" s="1" t="s">
        <v>10</v>
      </c>
      <c r="C1203" s="1">
        <v>40.375</v>
      </c>
      <c r="D1203" s="1">
        <v>2</v>
      </c>
      <c r="E1203" s="1" t="s">
        <v>11</v>
      </c>
      <c r="F1203" s="1" t="s">
        <v>13</v>
      </c>
      <c r="G1203" s="1">
        <v>8733.2292500000003</v>
      </c>
      <c r="H1203" t="str">
        <f t="shared" si="18"/>
        <v>40-49</v>
      </c>
    </row>
    <row r="1204" spans="1:8" ht="15.75" customHeight="1">
      <c r="A1204" s="1">
        <v>22</v>
      </c>
      <c r="B1204" s="1" t="s">
        <v>10</v>
      </c>
      <c r="C1204" s="1">
        <v>32.11</v>
      </c>
      <c r="D1204" s="1">
        <v>0</v>
      </c>
      <c r="E1204" s="1" t="s">
        <v>11</v>
      </c>
      <c r="F1204" s="1" t="s">
        <v>13</v>
      </c>
      <c r="G1204" s="1">
        <v>2055.3249000000001</v>
      </c>
      <c r="H1204" t="str">
        <f t="shared" si="18"/>
        <v>18-29</v>
      </c>
    </row>
    <row r="1205" spans="1:8" ht="15.75" customHeight="1">
      <c r="A1205" s="1">
        <v>51</v>
      </c>
      <c r="B1205" s="1" t="s">
        <v>10</v>
      </c>
      <c r="C1205" s="1">
        <v>32.299999999999997</v>
      </c>
      <c r="D1205" s="1">
        <v>1</v>
      </c>
      <c r="E1205" s="1" t="s">
        <v>11</v>
      </c>
      <c r="F1205" s="1" t="s">
        <v>14</v>
      </c>
      <c r="G1205" s="1">
        <v>9964.06</v>
      </c>
      <c r="H1205" t="str">
        <f t="shared" si="18"/>
        <v>50-59</v>
      </c>
    </row>
    <row r="1206" spans="1:8" ht="15.75" customHeight="1">
      <c r="A1206" s="1">
        <v>18</v>
      </c>
      <c r="B1206" s="1" t="s">
        <v>7</v>
      </c>
      <c r="C1206" s="1">
        <v>27.28</v>
      </c>
      <c r="D1206" s="1">
        <v>3</v>
      </c>
      <c r="E1206" s="1" t="s">
        <v>8</v>
      </c>
      <c r="F1206" s="1" t="s">
        <v>12</v>
      </c>
      <c r="G1206" s="1">
        <v>18223.4512</v>
      </c>
      <c r="H1206" t="str">
        <f t="shared" si="18"/>
        <v>18-29</v>
      </c>
    </row>
    <row r="1207" spans="1:8" ht="15.75" customHeight="1">
      <c r="A1207" s="1">
        <v>35</v>
      </c>
      <c r="B1207" s="1" t="s">
        <v>10</v>
      </c>
      <c r="C1207" s="1">
        <v>17.86</v>
      </c>
      <c r="D1207" s="1">
        <v>1</v>
      </c>
      <c r="E1207" s="1" t="s">
        <v>11</v>
      </c>
      <c r="F1207" s="1" t="s">
        <v>13</v>
      </c>
      <c r="G1207" s="1">
        <v>5116.5003999999999</v>
      </c>
      <c r="H1207" t="str">
        <f t="shared" si="18"/>
        <v>30-39</v>
      </c>
    </row>
    <row r="1208" spans="1:8" ht="15.75" customHeight="1">
      <c r="A1208" s="1">
        <v>59</v>
      </c>
      <c r="B1208" s="1" t="s">
        <v>7</v>
      </c>
      <c r="C1208" s="1">
        <v>34.799999999999997</v>
      </c>
      <c r="D1208" s="1">
        <v>2</v>
      </c>
      <c r="E1208" s="1" t="s">
        <v>11</v>
      </c>
      <c r="F1208" s="1" t="s">
        <v>9</v>
      </c>
      <c r="G1208" s="1">
        <v>36910.608030000003</v>
      </c>
      <c r="H1208" t="str">
        <f t="shared" si="18"/>
        <v>50-59</v>
      </c>
    </row>
    <row r="1209" spans="1:8" ht="15.75" customHeight="1">
      <c r="A1209" s="1">
        <v>36</v>
      </c>
      <c r="B1209" s="1" t="s">
        <v>10</v>
      </c>
      <c r="C1209" s="1">
        <v>33.4</v>
      </c>
      <c r="D1209" s="1">
        <v>2</v>
      </c>
      <c r="E1209" s="1" t="s">
        <v>8</v>
      </c>
      <c r="F1209" s="1" t="s">
        <v>9</v>
      </c>
      <c r="G1209" s="1">
        <v>38415.474000000002</v>
      </c>
      <c r="H1209" t="str">
        <f t="shared" si="18"/>
        <v>30-39</v>
      </c>
    </row>
    <row r="1210" spans="1:8" ht="15.75" customHeight="1">
      <c r="A1210" s="1">
        <v>37</v>
      </c>
      <c r="B1210" s="1" t="s">
        <v>7</v>
      </c>
      <c r="C1210" s="1">
        <v>25.555</v>
      </c>
      <c r="D1210" s="1">
        <v>1</v>
      </c>
      <c r="E1210" s="1" t="s">
        <v>8</v>
      </c>
      <c r="F1210" s="1" t="s">
        <v>14</v>
      </c>
      <c r="G1210" s="1">
        <v>20296.863450000001</v>
      </c>
      <c r="H1210" t="str">
        <f t="shared" si="18"/>
        <v>30-39</v>
      </c>
    </row>
    <row r="1211" spans="1:8" ht="15.75" customHeight="1">
      <c r="A1211" s="1">
        <v>59</v>
      </c>
      <c r="B1211" s="1" t="s">
        <v>10</v>
      </c>
      <c r="C1211" s="1">
        <v>37.1</v>
      </c>
      <c r="D1211" s="1">
        <v>1</v>
      </c>
      <c r="E1211" s="1" t="s">
        <v>11</v>
      </c>
      <c r="F1211" s="1" t="s">
        <v>9</v>
      </c>
      <c r="G1211" s="1">
        <v>12347.172</v>
      </c>
      <c r="H1211" t="str">
        <f t="shared" si="18"/>
        <v>50-59</v>
      </c>
    </row>
    <row r="1212" spans="1:8" ht="15.75" customHeight="1">
      <c r="A1212" s="1">
        <v>36</v>
      </c>
      <c r="B1212" s="1" t="s">
        <v>10</v>
      </c>
      <c r="C1212" s="1">
        <v>30.875</v>
      </c>
      <c r="D1212" s="1">
        <v>1</v>
      </c>
      <c r="E1212" s="1" t="s">
        <v>11</v>
      </c>
      <c r="F1212" s="1" t="s">
        <v>13</v>
      </c>
      <c r="G1212" s="1">
        <v>5373.3642499999996</v>
      </c>
      <c r="H1212" t="str">
        <f t="shared" si="18"/>
        <v>30-39</v>
      </c>
    </row>
    <row r="1213" spans="1:8" ht="15.75" customHeight="1">
      <c r="A1213" s="1">
        <v>39</v>
      </c>
      <c r="B1213" s="1" t="s">
        <v>10</v>
      </c>
      <c r="C1213" s="1">
        <v>34.1</v>
      </c>
      <c r="D1213" s="1">
        <v>2</v>
      </c>
      <c r="E1213" s="1" t="s">
        <v>11</v>
      </c>
      <c r="F1213" s="1" t="s">
        <v>12</v>
      </c>
      <c r="G1213" s="1">
        <v>23563.016179999999</v>
      </c>
      <c r="H1213" t="str">
        <f t="shared" si="18"/>
        <v>30-39</v>
      </c>
    </row>
    <row r="1214" spans="1:8" ht="15.75" customHeight="1">
      <c r="A1214" s="1">
        <v>18</v>
      </c>
      <c r="B1214" s="1" t="s">
        <v>10</v>
      </c>
      <c r="C1214" s="1">
        <v>21.47</v>
      </c>
      <c r="D1214" s="1">
        <v>0</v>
      </c>
      <c r="E1214" s="1" t="s">
        <v>11</v>
      </c>
      <c r="F1214" s="1" t="s">
        <v>14</v>
      </c>
      <c r="G1214" s="1">
        <v>1702.4553000000001</v>
      </c>
      <c r="H1214" t="str">
        <f t="shared" si="18"/>
        <v>18-29</v>
      </c>
    </row>
    <row r="1215" spans="1:8" ht="15.75" customHeight="1">
      <c r="A1215" s="1">
        <v>52</v>
      </c>
      <c r="B1215" s="1" t="s">
        <v>7</v>
      </c>
      <c r="C1215" s="1">
        <v>33.299999999999997</v>
      </c>
      <c r="D1215" s="1">
        <v>2</v>
      </c>
      <c r="E1215" s="1" t="s">
        <v>11</v>
      </c>
      <c r="F1215" s="1" t="s">
        <v>9</v>
      </c>
      <c r="G1215" s="1">
        <v>10806.839</v>
      </c>
      <c r="H1215" t="str">
        <f t="shared" si="18"/>
        <v>50-59</v>
      </c>
    </row>
    <row r="1216" spans="1:8" ht="15.75" customHeight="1">
      <c r="A1216" s="1">
        <v>27</v>
      </c>
      <c r="B1216" s="1" t="s">
        <v>7</v>
      </c>
      <c r="C1216" s="1">
        <v>31.254999999999999</v>
      </c>
      <c r="D1216" s="1">
        <v>1</v>
      </c>
      <c r="E1216" s="1" t="s">
        <v>11</v>
      </c>
      <c r="F1216" s="1" t="s">
        <v>13</v>
      </c>
      <c r="G1216" s="1">
        <v>3956.0714499999999</v>
      </c>
      <c r="H1216" t="str">
        <f t="shared" si="18"/>
        <v>18-29</v>
      </c>
    </row>
    <row r="1217" spans="1:8" ht="15.75" customHeight="1">
      <c r="A1217" s="1">
        <v>18</v>
      </c>
      <c r="B1217" s="1" t="s">
        <v>10</v>
      </c>
      <c r="C1217" s="1">
        <v>39.14</v>
      </c>
      <c r="D1217" s="1">
        <v>0</v>
      </c>
      <c r="E1217" s="1" t="s">
        <v>11</v>
      </c>
      <c r="F1217" s="1" t="s">
        <v>14</v>
      </c>
      <c r="G1217" s="1">
        <v>12890.057650000001</v>
      </c>
      <c r="H1217" t="str">
        <f t="shared" si="18"/>
        <v>18-29</v>
      </c>
    </row>
    <row r="1218" spans="1:8" ht="15.75" customHeight="1">
      <c r="A1218" s="1">
        <v>40</v>
      </c>
      <c r="B1218" s="1" t="s">
        <v>10</v>
      </c>
      <c r="C1218" s="1">
        <v>25.08</v>
      </c>
      <c r="D1218" s="1">
        <v>0</v>
      </c>
      <c r="E1218" s="1" t="s">
        <v>11</v>
      </c>
      <c r="F1218" s="1" t="s">
        <v>12</v>
      </c>
      <c r="G1218" s="1">
        <v>5415.6611999999996</v>
      </c>
      <c r="H1218" t="str">
        <f t="shared" si="18"/>
        <v>40-49</v>
      </c>
    </row>
    <row r="1219" spans="1:8" ht="15.75" customHeight="1">
      <c r="A1219" s="1">
        <v>29</v>
      </c>
      <c r="B1219" s="1" t="s">
        <v>10</v>
      </c>
      <c r="C1219" s="1">
        <v>37.29</v>
      </c>
      <c r="D1219" s="1">
        <v>2</v>
      </c>
      <c r="E1219" s="1" t="s">
        <v>11</v>
      </c>
      <c r="F1219" s="1" t="s">
        <v>12</v>
      </c>
      <c r="G1219" s="1">
        <v>4058.1161000000002</v>
      </c>
      <c r="H1219" t="str">
        <f t="shared" ref="H1219:H1282" si="19">IF(A1219&lt;30,"18-29",IF(A1219&lt;40,"30-39",IF(A1219&lt;50,"40-49",IF(A1219&lt;60,"50-59","60+"))))</f>
        <v>18-29</v>
      </c>
    </row>
    <row r="1220" spans="1:8" ht="15.75" customHeight="1">
      <c r="A1220" s="1">
        <v>46</v>
      </c>
      <c r="B1220" s="1" t="s">
        <v>7</v>
      </c>
      <c r="C1220" s="1">
        <v>34.6</v>
      </c>
      <c r="D1220" s="1">
        <v>1</v>
      </c>
      <c r="E1220" s="1" t="s">
        <v>8</v>
      </c>
      <c r="F1220" s="1" t="s">
        <v>9</v>
      </c>
      <c r="G1220" s="1">
        <v>41661.601999999999</v>
      </c>
      <c r="H1220" t="str">
        <f t="shared" si="19"/>
        <v>40-49</v>
      </c>
    </row>
    <row r="1221" spans="1:8" ht="15.75" customHeight="1">
      <c r="A1221" s="1">
        <v>38</v>
      </c>
      <c r="B1221" s="1" t="s">
        <v>7</v>
      </c>
      <c r="C1221" s="1">
        <v>30.21</v>
      </c>
      <c r="D1221" s="1">
        <v>3</v>
      </c>
      <c r="E1221" s="1" t="s">
        <v>11</v>
      </c>
      <c r="F1221" s="1" t="s">
        <v>13</v>
      </c>
      <c r="G1221" s="1">
        <v>7537.1638999999996</v>
      </c>
      <c r="H1221" t="str">
        <f t="shared" si="19"/>
        <v>30-39</v>
      </c>
    </row>
    <row r="1222" spans="1:8" ht="15.75" customHeight="1">
      <c r="A1222" s="1">
        <v>30</v>
      </c>
      <c r="B1222" s="1" t="s">
        <v>7</v>
      </c>
      <c r="C1222" s="1">
        <v>21.945</v>
      </c>
      <c r="D1222" s="1">
        <v>1</v>
      </c>
      <c r="E1222" s="1" t="s">
        <v>11</v>
      </c>
      <c r="F1222" s="1" t="s">
        <v>14</v>
      </c>
      <c r="G1222" s="1">
        <v>4718.2035500000002</v>
      </c>
      <c r="H1222" t="str">
        <f t="shared" si="19"/>
        <v>30-39</v>
      </c>
    </row>
    <row r="1223" spans="1:8" ht="15.75" customHeight="1">
      <c r="A1223" s="1">
        <v>40</v>
      </c>
      <c r="B1223" s="1" t="s">
        <v>10</v>
      </c>
      <c r="C1223" s="1">
        <v>24.97</v>
      </c>
      <c r="D1223" s="1">
        <v>2</v>
      </c>
      <c r="E1223" s="1" t="s">
        <v>11</v>
      </c>
      <c r="F1223" s="1" t="s">
        <v>12</v>
      </c>
      <c r="G1223" s="1">
        <v>6593.5083000000004</v>
      </c>
      <c r="H1223" t="str">
        <f t="shared" si="19"/>
        <v>40-49</v>
      </c>
    </row>
    <row r="1224" spans="1:8" ht="15.75" customHeight="1">
      <c r="A1224" s="1">
        <v>50</v>
      </c>
      <c r="B1224" s="1" t="s">
        <v>10</v>
      </c>
      <c r="C1224" s="1">
        <v>25.3</v>
      </c>
      <c r="D1224" s="1">
        <v>0</v>
      </c>
      <c r="E1224" s="1" t="s">
        <v>11</v>
      </c>
      <c r="F1224" s="1" t="s">
        <v>12</v>
      </c>
      <c r="G1224" s="1">
        <v>8442.6669999999995</v>
      </c>
      <c r="H1224" t="str">
        <f t="shared" si="19"/>
        <v>50-59</v>
      </c>
    </row>
    <row r="1225" spans="1:8" ht="15.75" customHeight="1">
      <c r="A1225" s="1">
        <v>20</v>
      </c>
      <c r="B1225" s="1" t="s">
        <v>7</v>
      </c>
      <c r="C1225" s="1">
        <v>24.42</v>
      </c>
      <c r="D1225" s="1">
        <v>0</v>
      </c>
      <c r="E1225" s="1" t="s">
        <v>8</v>
      </c>
      <c r="F1225" s="1" t="s">
        <v>12</v>
      </c>
      <c r="G1225" s="1">
        <v>26125.674770000001</v>
      </c>
      <c r="H1225" t="str">
        <f t="shared" si="19"/>
        <v>18-29</v>
      </c>
    </row>
    <row r="1226" spans="1:8" ht="15.75" customHeight="1">
      <c r="A1226" s="1">
        <v>41</v>
      </c>
      <c r="B1226" s="1" t="s">
        <v>10</v>
      </c>
      <c r="C1226" s="1">
        <v>23.94</v>
      </c>
      <c r="D1226" s="1">
        <v>1</v>
      </c>
      <c r="E1226" s="1" t="s">
        <v>11</v>
      </c>
      <c r="F1226" s="1" t="s">
        <v>14</v>
      </c>
      <c r="G1226" s="1">
        <v>6858.4795999999997</v>
      </c>
      <c r="H1226" t="str">
        <f t="shared" si="19"/>
        <v>40-49</v>
      </c>
    </row>
    <row r="1227" spans="1:8" ht="15.75" customHeight="1">
      <c r="A1227" s="1">
        <v>33</v>
      </c>
      <c r="B1227" s="1" t="s">
        <v>7</v>
      </c>
      <c r="C1227" s="1">
        <v>39.82</v>
      </c>
      <c r="D1227" s="1">
        <v>1</v>
      </c>
      <c r="E1227" s="1" t="s">
        <v>11</v>
      </c>
      <c r="F1227" s="1" t="s">
        <v>12</v>
      </c>
      <c r="G1227" s="1">
        <v>4795.6567999999997</v>
      </c>
      <c r="H1227" t="str">
        <f t="shared" si="19"/>
        <v>30-39</v>
      </c>
    </row>
    <row r="1228" spans="1:8" ht="15.75" customHeight="1">
      <c r="A1228" s="1">
        <v>38</v>
      </c>
      <c r="B1228" s="1" t="s">
        <v>10</v>
      </c>
      <c r="C1228" s="1">
        <v>16.815000000000001</v>
      </c>
      <c r="D1228" s="1">
        <v>2</v>
      </c>
      <c r="E1228" s="1" t="s">
        <v>11</v>
      </c>
      <c r="F1228" s="1" t="s">
        <v>14</v>
      </c>
      <c r="G1228" s="1">
        <v>6640.5448500000002</v>
      </c>
      <c r="H1228" t="str">
        <f t="shared" si="19"/>
        <v>30-39</v>
      </c>
    </row>
    <row r="1229" spans="1:8" ht="15.75" customHeight="1">
      <c r="A1229" s="1">
        <v>42</v>
      </c>
      <c r="B1229" s="1" t="s">
        <v>10</v>
      </c>
      <c r="C1229" s="1">
        <v>37.18</v>
      </c>
      <c r="D1229" s="1">
        <v>2</v>
      </c>
      <c r="E1229" s="1" t="s">
        <v>11</v>
      </c>
      <c r="F1229" s="1" t="s">
        <v>12</v>
      </c>
      <c r="G1229" s="1">
        <v>7162.0122000000001</v>
      </c>
      <c r="H1229" t="str">
        <f t="shared" si="19"/>
        <v>40-49</v>
      </c>
    </row>
    <row r="1230" spans="1:8" ht="15.75" customHeight="1">
      <c r="A1230" s="1">
        <v>56</v>
      </c>
      <c r="B1230" s="1" t="s">
        <v>10</v>
      </c>
      <c r="C1230" s="1">
        <v>34.43</v>
      </c>
      <c r="D1230" s="1">
        <v>0</v>
      </c>
      <c r="E1230" s="1" t="s">
        <v>11</v>
      </c>
      <c r="F1230" s="1" t="s">
        <v>12</v>
      </c>
      <c r="G1230" s="1">
        <v>10594.225700000001</v>
      </c>
      <c r="H1230" t="str">
        <f t="shared" si="19"/>
        <v>50-59</v>
      </c>
    </row>
    <row r="1231" spans="1:8" ht="15.75" customHeight="1">
      <c r="A1231" s="1">
        <v>58</v>
      </c>
      <c r="B1231" s="1" t="s">
        <v>10</v>
      </c>
      <c r="C1231" s="1">
        <v>30.305</v>
      </c>
      <c r="D1231" s="1">
        <v>0</v>
      </c>
      <c r="E1231" s="1" t="s">
        <v>11</v>
      </c>
      <c r="F1231" s="1" t="s">
        <v>14</v>
      </c>
      <c r="G1231" s="1">
        <v>11938.255950000001</v>
      </c>
      <c r="H1231" t="str">
        <f t="shared" si="19"/>
        <v>50-59</v>
      </c>
    </row>
    <row r="1232" spans="1:8" ht="15.75" customHeight="1">
      <c r="A1232" s="1">
        <v>52</v>
      </c>
      <c r="B1232" s="1" t="s">
        <v>10</v>
      </c>
      <c r="C1232" s="1">
        <v>34.484999999999999</v>
      </c>
      <c r="D1232" s="1">
        <v>3</v>
      </c>
      <c r="E1232" s="1" t="s">
        <v>8</v>
      </c>
      <c r="F1232" s="1" t="s">
        <v>13</v>
      </c>
      <c r="G1232" s="1">
        <v>60021.398970000002</v>
      </c>
      <c r="H1232" t="str">
        <f t="shared" si="19"/>
        <v>50-59</v>
      </c>
    </row>
    <row r="1233" spans="1:8" ht="15.75" customHeight="1">
      <c r="A1233" s="1">
        <v>20</v>
      </c>
      <c r="B1233" s="1" t="s">
        <v>7</v>
      </c>
      <c r="C1233" s="1">
        <v>21.8</v>
      </c>
      <c r="D1233" s="1">
        <v>0</v>
      </c>
      <c r="E1233" s="1" t="s">
        <v>8</v>
      </c>
      <c r="F1233" s="1" t="s">
        <v>9</v>
      </c>
      <c r="G1233" s="1">
        <v>20167.336029999999</v>
      </c>
      <c r="H1233" t="str">
        <f t="shared" si="19"/>
        <v>18-29</v>
      </c>
    </row>
    <row r="1234" spans="1:8" ht="15.75" customHeight="1">
      <c r="A1234" s="1">
        <v>54</v>
      </c>
      <c r="B1234" s="1" t="s">
        <v>7</v>
      </c>
      <c r="C1234" s="1">
        <v>24.605</v>
      </c>
      <c r="D1234" s="1">
        <v>3</v>
      </c>
      <c r="E1234" s="1" t="s">
        <v>11</v>
      </c>
      <c r="F1234" s="1" t="s">
        <v>13</v>
      </c>
      <c r="G1234" s="1">
        <v>12479.70895</v>
      </c>
      <c r="H1234" t="str">
        <f t="shared" si="19"/>
        <v>50-59</v>
      </c>
    </row>
    <row r="1235" spans="1:8" ht="15.75" customHeight="1">
      <c r="A1235" s="1">
        <v>58</v>
      </c>
      <c r="B1235" s="1" t="s">
        <v>10</v>
      </c>
      <c r="C1235" s="1">
        <v>23.3</v>
      </c>
      <c r="D1235" s="1">
        <v>0</v>
      </c>
      <c r="E1235" s="1" t="s">
        <v>11</v>
      </c>
      <c r="F1235" s="1" t="s">
        <v>9</v>
      </c>
      <c r="G1235" s="1">
        <v>11345.519</v>
      </c>
      <c r="H1235" t="str">
        <f t="shared" si="19"/>
        <v>50-59</v>
      </c>
    </row>
    <row r="1236" spans="1:8" ht="15.75" customHeight="1">
      <c r="A1236" s="1">
        <v>45</v>
      </c>
      <c r="B1236" s="1" t="s">
        <v>7</v>
      </c>
      <c r="C1236" s="1">
        <v>27.83</v>
      </c>
      <c r="D1236" s="1">
        <v>2</v>
      </c>
      <c r="E1236" s="1" t="s">
        <v>11</v>
      </c>
      <c r="F1236" s="1" t="s">
        <v>12</v>
      </c>
      <c r="G1236" s="1">
        <v>8515.7587000000003</v>
      </c>
      <c r="H1236" t="str">
        <f t="shared" si="19"/>
        <v>40-49</v>
      </c>
    </row>
    <row r="1237" spans="1:8" ht="15.75" customHeight="1">
      <c r="A1237" s="1">
        <v>26</v>
      </c>
      <c r="B1237" s="1" t="s">
        <v>10</v>
      </c>
      <c r="C1237" s="1">
        <v>31.065000000000001</v>
      </c>
      <c r="D1237" s="1">
        <v>0</v>
      </c>
      <c r="E1237" s="1" t="s">
        <v>11</v>
      </c>
      <c r="F1237" s="1" t="s">
        <v>13</v>
      </c>
      <c r="G1237" s="1">
        <v>2699.56835</v>
      </c>
      <c r="H1237" t="str">
        <f t="shared" si="19"/>
        <v>18-29</v>
      </c>
    </row>
    <row r="1238" spans="1:8" ht="15.75" customHeight="1">
      <c r="A1238" s="1">
        <v>63</v>
      </c>
      <c r="B1238" s="1" t="s">
        <v>7</v>
      </c>
      <c r="C1238" s="1">
        <v>21.66</v>
      </c>
      <c r="D1238" s="1">
        <v>0</v>
      </c>
      <c r="E1238" s="1" t="s">
        <v>11</v>
      </c>
      <c r="F1238" s="1" t="s">
        <v>14</v>
      </c>
      <c r="G1238" s="1">
        <v>14449.8544</v>
      </c>
      <c r="H1238" t="str">
        <f t="shared" si="19"/>
        <v>60+</v>
      </c>
    </row>
    <row r="1239" spans="1:8" ht="15.75" customHeight="1">
      <c r="A1239" s="1">
        <v>58</v>
      </c>
      <c r="B1239" s="1" t="s">
        <v>7</v>
      </c>
      <c r="C1239" s="1">
        <v>28.215</v>
      </c>
      <c r="D1239" s="1">
        <v>0</v>
      </c>
      <c r="E1239" s="1" t="s">
        <v>11</v>
      </c>
      <c r="F1239" s="1" t="s">
        <v>13</v>
      </c>
      <c r="G1239" s="1">
        <v>12224.350850000001</v>
      </c>
      <c r="H1239" t="str">
        <f t="shared" si="19"/>
        <v>50-59</v>
      </c>
    </row>
    <row r="1240" spans="1:8" ht="15.75" customHeight="1">
      <c r="A1240" s="1">
        <v>37</v>
      </c>
      <c r="B1240" s="1" t="s">
        <v>10</v>
      </c>
      <c r="C1240" s="1">
        <v>22.704999999999998</v>
      </c>
      <c r="D1240" s="1">
        <v>3</v>
      </c>
      <c r="E1240" s="1" t="s">
        <v>11</v>
      </c>
      <c r="F1240" s="1" t="s">
        <v>14</v>
      </c>
      <c r="G1240" s="1">
        <v>6985.50695</v>
      </c>
      <c r="H1240" t="str">
        <f t="shared" si="19"/>
        <v>30-39</v>
      </c>
    </row>
    <row r="1241" spans="1:8" ht="15.75" customHeight="1">
      <c r="A1241" s="1">
        <v>25</v>
      </c>
      <c r="B1241" s="1" t="s">
        <v>7</v>
      </c>
      <c r="C1241" s="1">
        <v>42.13</v>
      </c>
      <c r="D1241" s="1">
        <v>1</v>
      </c>
      <c r="E1241" s="1" t="s">
        <v>11</v>
      </c>
      <c r="F1241" s="1" t="s">
        <v>12</v>
      </c>
      <c r="G1241" s="1">
        <v>3238.4357</v>
      </c>
      <c r="H1241" t="str">
        <f t="shared" si="19"/>
        <v>18-29</v>
      </c>
    </row>
    <row r="1242" spans="1:8" ht="15.75" customHeight="1">
      <c r="A1242" s="1">
        <v>52</v>
      </c>
      <c r="B1242" s="1" t="s">
        <v>10</v>
      </c>
      <c r="C1242" s="1">
        <v>41.8</v>
      </c>
      <c r="D1242" s="1">
        <v>2</v>
      </c>
      <c r="E1242" s="1" t="s">
        <v>8</v>
      </c>
      <c r="F1242" s="1" t="s">
        <v>12</v>
      </c>
      <c r="G1242" s="1">
        <v>47269.853999999999</v>
      </c>
      <c r="H1242" t="str">
        <f t="shared" si="19"/>
        <v>50-59</v>
      </c>
    </row>
    <row r="1243" spans="1:8" ht="15.75" customHeight="1">
      <c r="A1243" s="1">
        <v>64</v>
      </c>
      <c r="B1243" s="1" t="s">
        <v>10</v>
      </c>
      <c r="C1243" s="1">
        <v>36.96</v>
      </c>
      <c r="D1243" s="1">
        <v>2</v>
      </c>
      <c r="E1243" s="1" t="s">
        <v>8</v>
      </c>
      <c r="F1243" s="1" t="s">
        <v>12</v>
      </c>
      <c r="G1243" s="1">
        <v>49577.662400000001</v>
      </c>
      <c r="H1243" t="str">
        <f t="shared" si="19"/>
        <v>60+</v>
      </c>
    </row>
    <row r="1244" spans="1:8" ht="15.75" customHeight="1">
      <c r="A1244" s="1">
        <v>22</v>
      </c>
      <c r="B1244" s="1" t="s">
        <v>7</v>
      </c>
      <c r="C1244" s="1">
        <v>21.28</v>
      </c>
      <c r="D1244" s="1">
        <v>3</v>
      </c>
      <c r="E1244" s="1" t="s">
        <v>11</v>
      </c>
      <c r="F1244" s="1" t="s">
        <v>13</v>
      </c>
      <c r="G1244" s="1">
        <v>4296.2712000000001</v>
      </c>
      <c r="H1244" t="str">
        <f t="shared" si="19"/>
        <v>18-29</v>
      </c>
    </row>
    <row r="1245" spans="1:8" ht="15.75" customHeight="1">
      <c r="A1245" s="1">
        <v>28</v>
      </c>
      <c r="B1245" s="1" t="s">
        <v>7</v>
      </c>
      <c r="C1245" s="1">
        <v>33.11</v>
      </c>
      <c r="D1245" s="1">
        <v>0</v>
      </c>
      <c r="E1245" s="1" t="s">
        <v>11</v>
      </c>
      <c r="F1245" s="1" t="s">
        <v>12</v>
      </c>
      <c r="G1245" s="1">
        <v>3171.6149</v>
      </c>
      <c r="H1245" t="str">
        <f t="shared" si="19"/>
        <v>18-29</v>
      </c>
    </row>
    <row r="1246" spans="1:8" ht="15.75" customHeight="1">
      <c r="A1246" s="1">
        <v>18</v>
      </c>
      <c r="B1246" s="1" t="s">
        <v>10</v>
      </c>
      <c r="C1246" s="1">
        <v>33.33</v>
      </c>
      <c r="D1246" s="1">
        <v>0</v>
      </c>
      <c r="E1246" s="1" t="s">
        <v>11</v>
      </c>
      <c r="F1246" s="1" t="s">
        <v>12</v>
      </c>
      <c r="G1246" s="1">
        <v>1135.9407000000001</v>
      </c>
      <c r="H1246" t="str">
        <f t="shared" si="19"/>
        <v>18-29</v>
      </c>
    </row>
    <row r="1247" spans="1:8" ht="15.75" customHeight="1">
      <c r="A1247" s="1">
        <v>28</v>
      </c>
      <c r="B1247" s="1" t="s">
        <v>10</v>
      </c>
      <c r="C1247" s="1">
        <v>24.3</v>
      </c>
      <c r="D1247" s="1">
        <v>5</v>
      </c>
      <c r="E1247" s="1" t="s">
        <v>11</v>
      </c>
      <c r="F1247" s="1" t="s">
        <v>9</v>
      </c>
      <c r="G1247" s="1">
        <v>5615.3689999999997</v>
      </c>
      <c r="H1247" t="str">
        <f t="shared" si="19"/>
        <v>18-29</v>
      </c>
    </row>
    <row r="1248" spans="1:8" ht="15.75" customHeight="1">
      <c r="A1248" s="1">
        <v>45</v>
      </c>
      <c r="B1248" s="1" t="s">
        <v>7</v>
      </c>
      <c r="C1248" s="1">
        <v>25.7</v>
      </c>
      <c r="D1248" s="1">
        <v>3</v>
      </c>
      <c r="E1248" s="1" t="s">
        <v>11</v>
      </c>
      <c r="F1248" s="1" t="s">
        <v>9</v>
      </c>
      <c r="G1248" s="1">
        <v>9101.7980000000007</v>
      </c>
      <c r="H1248" t="str">
        <f t="shared" si="19"/>
        <v>40-49</v>
      </c>
    </row>
    <row r="1249" spans="1:8" ht="15.75" customHeight="1">
      <c r="A1249" s="1">
        <v>33</v>
      </c>
      <c r="B1249" s="1" t="s">
        <v>10</v>
      </c>
      <c r="C1249" s="1">
        <v>29.4</v>
      </c>
      <c r="D1249" s="1">
        <v>4</v>
      </c>
      <c r="E1249" s="1" t="s">
        <v>11</v>
      </c>
      <c r="F1249" s="1" t="s">
        <v>9</v>
      </c>
      <c r="G1249" s="1">
        <v>6059.1729999999998</v>
      </c>
      <c r="H1249" t="str">
        <f t="shared" si="19"/>
        <v>30-39</v>
      </c>
    </row>
    <row r="1250" spans="1:8" ht="15.75" customHeight="1">
      <c r="A1250" s="1">
        <v>18</v>
      </c>
      <c r="B1250" s="1" t="s">
        <v>7</v>
      </c>
      <c r="C1250" s="1">
        <v>39.82</v>
      </c>
      <c r="D1250" s="1">
        <v>0</v>
      </c>
      <c r="E1250" s="1" t="s">
        <v>11</v>
      </c>
      <c r="F1250" s="1" t="s">
        <v>12</v>
      </c>
      <c r="G1250" s="1">
        <v>1633.9618</v>
      </c>
      <c r="H1250" t="str">
        <f t="shared" si="19"/>
        <v>18-29</v>
      </c>
    </row>
    <row r="1251" spans="1:8" ht="15.75" customHeight="1">
      <c r="A1251" s="1">
        <v>32</v>
      </c>
      <c r="B1251" s="1" t="s">
        <v>10</v>
      </c>
      <c r="C1251" s="1">
        <v>33.630000000000003</v>
      </c>
      <c r="D1251" s="1">
        <v>1</v>
      </c>
      <c r="E1251" s="1" t="s">
        <v>8</v>
      </c>
      <c r="F1251" s="1" t="s">
        <v>14</v>
      </c>
      <c r="G1251" s="1">
        <v>37607.527699999999</v>
      </c>
      <c r="H1251" t="str">
        <f t="shared" si="19"/>
        <v>30-39</v>
      </c>
    </row>
    <row r="1252" spans="1:8" ht="15.75" customHeight="1">
      <c r="A1252" s="1">
        <v>24</v>
      </c>
      <c r="B1252" s="1" t="s">
        <v>10</v>
      </c>
      <c r="C1252" s="1">
        <v>29.83</v>
      </c>
      <c r="D1252" s="1">
        <v>0</v>
      </c>
      <c r="E1252" s="1" t="s">
        <v>8</v>
      </c>
      <c r="F1252" s="1" t="s">
        <v>14</v>
      </c>
      <c r="G1252" s="1">
        <v>18648.421699999999</v>
      </c>
      <c r="H1252" t="str">
        <f t="shared" si="19"/>
        <v>18-29</v>
      </c>
    </row>
    <row r="1253" spans="1:8" ht="15.75" customHeight="1">
      <c r="A1253" s="1">
        <v>19</v>
      </c>
      <c r="B1253" s="1" t="s">
        <v>10</v>
      </c>
      <c r="C1253" s="1">
        <v>19.8</v>
      </c>
      <c r="D1253" s="1">
        <v>0</v>
      </c>
      <c r="E1253" s="1" t="s">
        <v>11</v>
      </c>
      <c r="F1253" s="1" t="s">
        <v>9</v>
      </c>
      <c r="G1253" s="1">
        <v>1241.5650000000001</v>
      </c>
      <c r="H1253" t="str">
        <f t="shared" si="19"/>
        <v>18-29</v>
      </c>
    </row>
    <row r="1254" spans="1:8" ht="15.75" customHeight="1">
      <c r="A1254" s="1">
        <v>20</v>
      </c>
      <c r="B1254" s="1" t="s">
        <v>10</v>
      </c>
      <c r="C1254" s="1">
        <v>27.3</v>
      </c>
      <c r="D1254" s="1">
        <v>0</v>
      </c>
      <c r="E1254" s="1" t="s">
        <v>8</v>
      </c>
      <c r="F1254" s="1" t="s">
        <v>9</v>
      </c>
      <c r="G1254" s="1">
        <v>16232.847</v>
      </c>
      <c r="H1254" t="str">
        <f t="shared" si="19"/>
        <v>18-29</v>
      </c>
    </row>
    <row r="1255" spans="1:8" ht="15.75" customHeight="1">
      <c r="A1255" s="1">
        <v>40</v>
      </c>
      <c r="B1255" s="1" t="s">
        <v>7</v>
      </c>
      <c r="C1255" s="1">
        <v>29.3</v>
      </c>
      <c r="D1255" s="1">
        <v>4</v>
      </c>
      <c r="E1255" s="1" t="s">
        <v>11</v>
      </c>
      <c r="F1255" s="1" t="s">
        <v>9</v>
      </c>
      <c r="G1255" s="1">
        <v>15828.82173</v>
      </c>
      <c r="H1255" t="str">
        <f t="shared" si="19"/>
        <v>40-49</v>
      </c>
    </row>
    <row r="1256" spans="1:8" ht="15.75" customHeight="1">
      <c r="A1256" s="1">
        <v>34</v>
      </c>
      <c r="B1256" s="1" t="s">
        <v>7</v>
      </c>
      <c r="C1256" s="1">
        <v>27.72</v>
      </c>
      <c r="D1256" s="1">
        <v>0</v>
      </c>
      <c r="E1256" s="1" t="s">
        <v>11</v>
      </c>
      <c r="F1256" s="1" t="s">
        <v>12</v>
      </c>
      <c r="G1256" s="1">
        <v>4415.1588000000002</v>
      </c>
      <c r="H1256" t="str">
        <f t="shared" si="19"/>
        <v>30-39</v>
      </c>
    </row>
    <row r="1257" spans="1:8" ht="15.75" customHeight="1">
      <c r="A1257" s="1">
        <v>42</v>
      </c>
      <c r="B1257" s="1" t="s">
        <v>7</v>
      </c>
      <c r="C1257" s="1">
        <v>37.9</v>
      </c>
      <c r="D1257" s="1">
        <v>0</v>
      </c>
      <c r="E1257" s="1" t="s">
        <v>11</v>
      </c>
      <c r="F1257" s="1" t="s">
        <v>9</v>
      </c>
      <c r="G1257" s="1">
        <v>6474.0129999999999</v>
      </c>
      <c r="H1257" t="str">
        <f t="shared" si="19"/>
        <v>40-49</v>
      </c>
    </row>
    <row r="1258" spans="1:8" ht="15.75" customHeight="1">
      <c r="A1258" s="1">
        <v>51</v>
      </c>
      <c r="B1258" s="1" t="s">
        <v>7</v>
      </c>
      <c r="C1258" s="1">
        <v>36.384999999999998</v>
      </c>
      <c r="D1258" s="1">
        <v>3</v>
      </c>
      <c r="E1258" s="1" t="s">
        <v>11</v>
      </c>
      <c r="F1258" s="1" t="s">
        <v>13</v>
      </c>
      <c r="G1258" s="1">
        <v>11436.738149999999</v>
      </c>
      <c r="H1258" t="str">
        <f t="shared" si="19"/>
        <v>50-59</v>
      </c>
    </row>
    <row r="1259" spans="1:8" ht="15.75" customHeight="1">
      <c r="A1259" s="1">
        <v>54</v>
      </c>
      <c r="B1259" s="1" t="s">
        <v>7</v>
      </c>
      <c r="C1259" s="1">
        <v>27.645</v>
      </c>
      <c r="D1259" s="1">
        <v>1</v>
      </c>
      <c r="E1259" s="1" t="s">
        <v>11</v>
      </c>
      <c r="F1259" s="1" t="s">
        <v>13</v>
      </c>
      <c r="G1259" s="1">
        <v>11305.93455</v>
      </c>
      <c r="H1259" t="str">
        <f t="shared" si="19"/>
        <v>50-59</v>
      </c>
    </row>
    <row r="1260" spans="1:8" ht="15.75" customHeight="1">
      <c r="A1260" s="1">
        <v>55</v>
      </c>
      <c r="B1260" s="1" t="s">
        <v>10</v>
      </c>
      <c r="C1260" s="1">
        <v>37.715000000000003</v>
      </c>
      <c r="D1260" s="1">
        <v>3</v>
      </c>
      <c r="E1260" s="1" t="s">
        <v>11</v>
      </c>
      <c r="F1260" s="1" t="s">
        <v>13</v>
      </c>
      <c r="G1260" s="1">
        <v>30063.580549999999</v>
      </c>
      <c r="H1260" t="str">
        <f t="shared" si="19"/>
        <v>50-59</v>
      </c>
    </row>
    <row r="1261" spans="1:8" ht="15.75" customHeight="1">
      <c r="A1261" s="1">
        <v>52</v>
      </c>
      <c r="B1261" s="1" t="s">
        <v>7</v>
      </c>
      <c r="C1261" s="1">
        <v>23.18</v>
      </c>
      <c r="D1261" s="1">
        <v>0</v>
      </c>
      <c r="E1261" s="1" t="s">
        <v>11</v>
      </c>
      <c r="F1261" s="1" t="s">
        <v>14</v>
      </c>
      <c r="G1261" s="1">
        <v>10197.772199999999</v>
      </c>
      <c r="H1261" t="str">
        <f t="shared" si="19"/>
        <v>50-59</v>
      </c>
    </row>
    <row r="1262" spans="1:8" ht="15.75" customHeight="1">
      <c r="A1262" s="1">
        <v>32</v>
      </c>
      <c r="B1262" s="1" t="s">
        <v>7</v>
      </c>
      <c r="C1262" s="1">
        <v>20.52</v>
      </c>
      <c r="D1262" s="1">
        <v>0</v>
      </c>
      <c r="E1262" s="1" t="s">
        <v>11</v>
      </c>
      <c r="F1262" s="1" t="s">
        <v>14</v>
      </c>
      <c r="G1262" s="1">
        <v>4544.2348000000002</v>
      </c>
      <c r="H1262" t="str">
        <f t="shared" si="19"/>
        <v>30-39</v>
      </c>
    </row>
    <row r="1263" spans="1:8" ht="15.75" customHeight="1">
      <c r="A1263" s="1">
        <v>28</v>
      </c>
      <c r="B1263" s="1" t="s">
        <v>10</v>
      </c>
      <c r="C1263" s="1">
        <v>37.1</v>
      </c>
      <c r="D1263" s="1">
        <v>1</v>
      </c>
      <c r="E1263" s="1" t="s">
        <v>11</v>
      </c>
      <c r="F1263" s="1" t="s">
        <v>9</v>
      </c>
      <c r="G1263" s="1">
        <v>3277.1610000000001</v>
      </c>
      <c r="H1263" t="str">
        <f t="shared" si="19"/>
        <v>18-29</v>
      </c>
    </row>
    <row r="1264" spans="1:8" ht="15.75" customHeight="1">
      <c r="A1264" s="1">
        <v>41</v>
      </c>
      <c r="B1264" s="1" t="s">
        <v>7</v>
      </c>
      <c r="C1264" s="1">
        <v>28.05</v>
      </c>
      <c r="D1264" s="1">
        <v>1</v>
      </c>
      <c r="E1264" s="1" t="s">
        <v>11</v>
      </c>
      <c r="F1264" s="1" t="s">
        <v>12</v>
      </c>
      <c r="G1264" s="1">
        <v>6770.1925000000001</v>
      </c>
      <c r="H1264" t="str">
        <f t="shared" si="19"/>
        <v>40-49</v>
      </c>
    </row>
    <row r="1265" spans="1:8" ht="15.75" customHeight="1">
      <c r="A1265" s="1">
        <v>43</v>
      </c>
      <c r="B1265" s="1" t="s">
        <v>7</v>
      </c>
      <c r="C1265" s="1">
        <v>29.9</v>
      </c>
      <c r="D1265" s="1">
        <v>1</v>
      </c>
      <c r="E1265" s="1" t="s">
        <v>11</v>
      </c>
      <c r="F1265" s="1" t="s">
        <v>9</v>
      </c>
      <c r="G1265" s="1">
        <v>7337.7479999999996</v>
      </c>
      <c r="H1265" t="str">
        <f t="shared" si="19"/>
        <v>40-49</v>
      </c>
    </row>
    <row r="1266" spans="1:8" ht="15.75" customHeight="1">
      <c r="A1266" s="1">
        <v>49</v>
      </c>
      <c r="B1266" s="1" t="s">
        <v>7</v>
      </c>
      <c r="C1266" s="1">
        <v>33.344999999999999</v>
      </c>
      <c r="D1266" s="1">
        <v>2</v>
      </c>
      <c r="E1266" s="1" t="s">
        <v>11</v>
      </c>
      <c r="F1266" s="1" t="s">
        <v>14</v>
      </c>
      <c r="G1266" s="1">
        <v>10370.912549999999</v>
      </c>
      <c r="H1266" t="str">
        <f t="shared" si="19"/>
        <v>40-49</v>
      </c>
    </row>
    <row r="1267" spans="1:8" ht="15.75" customHeight="1">
      <c r="A1267" s="1">
        <v>64</v>
      </c>
      <c r="B1267" s="1" t="s">
        <v>10</v>
      </c>
      <c r="C1267" s="1">
        <v>23.76</v>
      </c>
      <c r="D1267" s="1">
        <v>0</v>
      </c>
      <c r="E1267" s="1" t="s">
        <v>8</v>
      </c>
      <c r="F1267" s="1" t="s">
        <v>12</v>
      </c>
      <c r="G1267" s="1">
        <v>26926.5144</v>
      </c>
      <c r="H1267" t="str">
        <f t="shared" si="19"/>
        <v>60+</v>
      </c>
    </row>
    <row r="1268" spans="1:8" ht="15.75" customHeight="1">
      <c r="A1268" s="1">
        <v>55</v>
      </c>
      <c r="B1268" s="1" t="s">
        <v>7</v>
      </c>
      <c r="C1268" s="1">
        <v>30.5</v>
      </c>
      <c r="D1268" s="1">
        <v>0</v>
      </c>
      <c r="E1268" s="1" t="s">
        <v>11</v>
      </c>
      <c r="F1268" s="1" t="s">
        <v>9</v>
      </c>
      <c r="G1268" s="1">
        <v>10704.47</v>
      </c>
      <c r="H1268" t="str">
        <f t="shared" si="19"/>
        <v>50-59</v>
      </c>
    </row>
    <row r="1269" spans="1:8" ht="15.75" customHeight="1">
      <c r="A1269" s="1">
        <v>24</v>
      </c>
      <c r="B1269" s="1" t="s">
        <v>10</v>
      </c>
      <c r="C1269" s="1">
        <v>31.065000000000001</v>
      </c>
      <c r="D1269" s="1">
        <v>0</v>
      </c>
      <c r="E1269" s="1" t="s">
        <v>8</v>
      </c>
      <c r="F1269" s="1" t="s">
        <v>14</v>
      </c>
      <c r="G1269" s="1">
        <v>34254.053350000002</v>
      </c>
      <c r="H1269" t="str">
        <f t="shared" si="19"/>
        <v>18-29</v>
      </c>
    </row>
    <row r="1270" spans="1:8" ht="15.75" customHeight="1">
      <c r="A1270" s="1">
        <v>20</v>
      </c>
      <c r="B1270" s="1" t="s">
        <v>7</v>
      </c>
      <c r="C1270" s="1">
        <v>33.299999999999997</v>
      </c>
      <c r="D1270" s="1">
        <v>0</v>
      </c>
      <c r="E1270" s="1" t="s">
        <v>11</v>
      </c>
      <c r="F1270" s="1" t="s">
        <v>9</v>
      </c>
      <c r="G1270" s="1">
        <v>1880.4870000000001</v>
      </c>
      <c r="H1270" t="str">
        <f t="shared" si="19"/>
        <v>18-29</v>
      </c>
    </row>
    <row r="1271" spans="1:8" ht="15.75" customHeight="1">
      <c r="A1271" s="1">
        <v>45</v>
      </c>
      <c r="B1271" s="1" t="s">
        <v>10</v>
      </c>
      <c r="C1271" s="1">
        <v>27.5</v>
      </c>
      <c r="D1271" s="1">
        <v>3</v>
      </c>
      <c r="E1271" s="1" t="s">
        <v>11</v>
      </c>
      <c r="F1271" s="1" t="s">
        <v>9</v>
      </c>
      <c r="G1271" s="1">
        <v>8615.2999999999993</v>
      </c>
      <c r="H1271" t="str">
        <f t="shared" si="19"/>
        <v>40-49</v>
      </c>
    </row>
    <row r="1272" spans="1:8" ht="15.75" customHeight="1">
      <c r="A1272" s="1">
        <v>26</v>
      </c>
      <c r="B1272" s="1" t="s">
        <v>10</v>
      </c>
      <c r="C1272" s="1">
        <v>33.914999999999999</v>
      </c>
      <c r="D1272" s="1">
        <v>1</v>
      </c>
      <c r="E1272" s="1" t="s">
        <v>11</v>
      </c>
      <c r="F1272" s="1" t="s">
        <v>13</v>
      </c>
      <c r="G1272" s="1">
        <v>3292.5298499999999</v>
      </c>
      <c r="H1272" t="str">
        <f t="shared" si="19"/>
        <v>18-29</v>
      </c>
    </row>
    <row r="1273" spans="1:8" ht="15.75" customHeight="1">
      <c r="A1273" s="1">
        <v>25</v>
      </c>
      <c r="B1273" s="1" t="s">
        <v>7</v>
      </c>
      <c r="C1273" s="1">
        <v>34.484999999999999</v>
      </c>
      <c r="D1273" s="1">
        <v>0</v>
      </c>
      <c r="E1273" s="1" t="s">
        <v>11</v>
      </c>
      <c r="F1273" s="1" t="s">
        <v>13</v>
      </c>
      <c r="G1273" s="1">
        <v>3021.80915</v>
      </c>
      <c r="H1273" t="str">
        <f t="shared" si="19"/>
        <v>18-29</v>
      </c>
    </row>
    <row r="1274" spans="1:8" ht="15.75" customHeight="1">
      <c r="A1274" s="1">
        <v>43</v>
      </c>
      <c r="B1274" s="1" t="s">
        <v>10</v>
      </c>
      <c r="C1274" s="1">
        <v>25.52</v>
      </c>
      <c r="D1274" s="1">
        <v>5</v>
      </c>
      <c r="E1274" s="1" t="s">
        <v>11</v>
      </c>
      <c r="F1274" s="1" t="s">
        <v>12</v>
      </c>
      <c r="G1274" s="1">
        <v>14478.33015</v>
      </c>
      <c r="H1274" t="str">
        <f t="shared" si="19"/>
        <v>40-49</v>
      </c>
    </row>
    <row r="1275" spans="1:8" ht="15.75" customHeight="1">
      <c r="A1275" s="1">
        <v>35</v>
      </c>
      <c r="B1275" s="1" t="s">
        <v>10</v>
      </c>
      <c r="C1275" s="1">
        <v>27.61</v>
      </c>
      <c r="D1275" s="1">
        <v>1</v>
      </c>
      <c r="E1275" s="1" t="s">
        <v>11</v>
      </c>
      <c r="F1275" s="1" t="s">
        <v>12</v>
      </c>
      <c r="G1275" s="1">
        <v>4747.0528999999997</v>
      </c>
      <c r="H1275" t="str">
        <f t="shared" si="19"/>
        <v>30-39</v>
      </c>
    </row>
    <row r="1276" spans="1:8" ht="15.75" customHeight="1">
      <c r="A1276" s="1">
        <v>26</v>
      </c>
      <c r="B1276" s="1" t="s">
        <v>10</v>
      </c>
      <c r="C1276" s="1">
        <v>27.06</v>
      </c>
      <c r="D1276" s="1">
        <v>0</v>
      </c>
      <c r="E1276" s="1" t="s">
        <v>8</v>
      </c>
      <c r="F1276" s="1" t="s">
        <v>12</v>
      </c>
      <c r="G1276" s="1">
        <v>17043.341400000001</v>
      </c>
      <c r="H1276" t="str">
        <f t="shared" si="19"/>
        <v>18-29</v>
      </c>
    </row>
    <row r="1277" spans="1:8" ht="15.75" customHeight="1">
      <c r="A1277" s="1">
        <v>57</v>
      </c>
      <c r="B1277" s="1" t="s">
        <v>10</v>
      </c>
      <c r="C1277" s="1">
        <v>23.7</v>
      </c>
      <c r="D1277" s="1">
        <v>0</v>
      </c>
      <c r="E1277" s="1" t="s">
        <v>11</v>
      </c>
      <c r="F1277" s="1" t="s">
        <v>9</v>
      </c>
      <c r="G1277" s="1">
        <v>10959.33</v>
      </c>
      <c r="H1277" t="str">
        <f t="shared" si="19"/>
        <v>50-59</v>
      </c>
    </row>
    <row r="1278" spans="1:8" ht="15.75" customHeight="1">
      <c r="A1278" s="1">
        <v>22</v>
      </c>
      <c r="B1278" s="1" t="s">
        <v>7</v>
      </c>
      <c r="C1278" s="1">
        <v>30.4</v>
      </c>
      <c r="D1278" s="1">
        <v>0</v>
      </c>
      <c r="E1278" s="1" t="s">
        <v>11</v>
      </c>
      <c r="F1278" s="1" t="s">
        <v>14</v>
      </c>
      <c r="G1278" s="1">
        <v>2741.9479999999999</v>
      </c>
      <c r="H1278" t="str">
        <f t="shared" si="19"/>
        <v>18-29</v>
      </c>
    </row>
    <row r="1279" spans="1:8" ht="15.75" customHeight="1">
      <c r="A1279" s="1">
        <v>32</v>
      </c>
      <c r="B1279" s="1" t="s">
        <v>7</v>
      </c>
      <c r="C1279" s="1">
        <v>29.734999999999999</v>
      </c>
      <c r="D1279" s="1">
        <v>0</v>
      </c>
      <c r="E1279" s="1" t="s">
        <v>11</v>
      </c>
      <c r="F1279" s="1" t="s">
        <v>13</v>
      </c>
      <c r="G1279" s="1">
        <v>4357.0436499999996</v>
      </c>
      <c r="H1279" t="str">
        <f t="shared" si="19"/>
        <v>30-39</v>
      </c>
    </row>
    <row r="1280" spans="1:8" ht="15.75" customHeight="1">
      <c r="A1280" s="1">
        <v>39</v>
      </c>
      <c r="B1280" s="1" t="s">
        <v>10</v>
      </c>
      <c r="C1280" s="1">
        <v>29.925000000000001</v>
      </c>
      <c r="D1280" s="1">
        <v>1</v>
      </c>
      <c r="E1280" s="1" t="s">
        <v>8</v>
      </c>
      <c r="F1280" s="1" t="s">
        <v>14</v>
      </c>
      <c r="G1280" s="1">
        <v>22462.043750000001</v>
      </c>
      <c r="H1280" t="str">
        <f t="shared" si="19"/>
        <v>30-39</v>
      </c>
    </row>
    <row r="1281" spans="1:8" ht="15.75" customHeight="1">
      <c r="A1281" s="1">
        <v>25</v>
      </c>
      <c r="B1281" s="1" t="s">
        <v>7</v>
      </c>
      <c r="C1281" s="1">
        <v>26.79</v>
      </c>
      <c r="D1281" s="1">
        <v>2</v>
      </c>
      <c r="E1281" s="1" t="s">
        <v>11</v>
      </c>
      <c r="F1281" s="1" t="s">
        <v>13</v>
      </c>
      <c r="G1281" s="1">
        <v>4189.1130999999996</v>
      </c>
      <c r="H1281" t="str">
        <f t="shared" si="19"/>
        <v>18-29</v>
      </c>
    </row>
    <row r="1282" spans="1:8" ht="15.75" customHeight="1">
      <c r="A1282" s="1">
        <v>48</v>
      </c>
      <c r="B1282" s="1" t="s">
        <v>7</v>
      </c>
      <c r="C1282" s="1">
        <v>33.33</v>
      </c>
      <c r="D1282" s="1">
        <v>0</v>
      </c>
      <c r="E1282" s="1" t="s">
        <v>11</v>
      </c>
      <c r="F1282" s="1" t="s">
        <v>12</v>
      </c>
      <c r="G1282" s="1">
        <v>8283.6807000000008</v>
      </c>
      <c r="H1282" t="str">
        <f t="shared" si="19"/>
        <v>40-49</v>
      </c>
    </row>
    <row r="1283" spans="1:8" ht="15.75" customHeight="1">
      <c r="A1283" s="1">
        <v>47</v>
      </c>
      <c r="B1283" s="1" t="s">
        <v>7</v>
      </c>
      <c r="C1283" s="1">
        <v>27.645</v>
      </c>
      <c r="D1283" s="1">
        <v>2</v>
      </c>
      <c r="E1283" s="1" t="s">
        <v>8</v>
      </c>
      <c r="F1283" s="1" t="s">
        <v>13</v>
      </c>
      <c r="G1283" s="1">
        <v>24535.698550000001</v>
      </c>
      <c r="H1283" t="str">
        <f t="shared" ref="H1283:H1339" si="20">IF(A1283&lt;30,"18-29",IF(A1283&lt;40,"30-39",IF(A1283&lt;50,"40-49",IF(A1283&lt;60,"50-59","60+"))))</f>
        <v>40-49</v>
      </c>
    </row>
    <row r="1284" spans="1:8" ht="15.75" customHeight="1">
      <c r="A1284" s="1">
        <v>18</v>
      </c>
      <c r="B1284" s="1" t="s">
        <v>7</v>
      </c>
      <c r="C1284" s="1">
        <v>21.66</v>
      </c>
      <c r="D1284" s="1">
        <v>0</v>
      </c>
      <c r="E1284" s="1" t="s">
        <v>8</v>
      </c>
      <c r="F1284" s="1" t="s">
        <v>14</v>
      </c>
      <c r="G1284" s="1">
        <v>14283.4594</v>
      </c>
      <c r="H1284" t="str">
        <f t="shared" si="20"/>
        <v>18-29</v>
      </c>
    </row>
    <row r="1285" spans="1:8" ht="15.75" customHeight="1">
      <c r="A1285" s="1">
        <v>18</v>
      </c>
      <c r="B1285" s="1" t="s">
        <v>10</v>
      </c>
      <c r="C1285" s="1">
        <v>30.03</v>
      </c>
      <c r="D1285" s="1">
        <v>1</v>
      </c>
      <c r="E1285" s="1" t="s">
        <v>11</v>
      </c>
      <c r="F1285" s="1" t="s">
        <v>12</v>
      </c>
      <c r="G1285" s="1">
        <v>1720.3536999999999</v>
      </c>
      <c r="H1285" t="str">
        <f t="shared" si="20"/>
        <v>18-29</v>
      </c>
    </row>
    <row r="1286" spans="1:8" ht="15.75" customHeight="1">
      <c r="A1286" s="1">
        <v>61</v>
      </c>
      <c r="B1286" s="1" t="s">
        <v>10</v>
      </c>
      <c r="C1286" s="1">
        <v>36.299999999999997</v>
      </c>
      <c r="D1286" s="1">
        <v>1</v>
      </c>
      <c r="E1286" s="1" t="s">
        <v>8</v>
      </c>
      <c r="F1286" s="1" t="s">
        <v>9</v>
      </c>
      <c r="G1286" s="1">
        <v>47403.88</v>
      </c>
      <c r="H1286" t="str">
        <f t="shared" si="20"/>
        <v>60+</v>
      </c>
    </row>
    <row r="1287" spans="1:8" ht="15.75" customHeight="1">
      <c r="A1287" s="1">
        <v>47</v>
      </c>
      <c r="B1287" s="1" t="s">
        <v>7</v>
      </c>
      <c r="C1287" s="1">
        <v>24.32</v>
      </c>
      <c r="D1287" s="1">
        <v>0</v>
      </c>
      <c r="E1287" s="1" t="s">
        <v>11</v>
      </c>
      <c r="F1287" s="1" t="s">
        <v>14</v>
      </c>
      <c r="G1287" s="1">
        <v>8534.6718000000001</v>
      </c>
      <c r="H1287" t="str">
        <f t="shared" si="20"/>
        <v>40-49</v>
      </c>
    </row>
    <row r="1288" spans="1:8" ht="15.75" customHeight="1">
      <c r="A1288" s="1">
        <v>28</v>
      </c>
      <c r="B1288" s="1" t="s">
        <v>7</v>
      </c>
      <c r="C1288" s="1">
        <v>17.29</v>
      </c>
      <c r="D1288" s="1">
        <v>0</v>
      </c>
      <c r="E1288" s="1" t="s">
        <v>11</v>
      </c>
      <c r="F1288" s="1" t="s">
        <v>14</v>
      </c>
      <c r="G1288" s="1">
        <v>3732.6251000000002</v>
      </c>
      <c r="H1288" t="str">
        <f t="shared" si="20"/>
        <v>18-29</v>
      </c>
    </row>
    <row r="1289" spans="1:8" ht="15.75" customHeight="1">
      <c r="A1289" s="1">
        <v>36</v>
      </c>
      <c r="B1289" s="1" t="s">
        <v>7</v>
      </c>
      <c r="C1289" s="1">
        <v>25.9</v>
      </c>
      <c r="D1289" s="1">
        <v>1</v>
      </c>
      <c r="E1289" s="1" t="s">
        <v>11</v>
      </c>
      <c r="F1289" s="1" t="s">
        <v>9</v>
      </c>
      <c r="G1289" s="1">
        <v>5472.4489999999996</v>
      </c>
      <c r="H1289" t="str">
        <f t="shared" si="20"/>
        <v>30-39</v>
      </c>
    </row>
    <row r="1290" spans="1:8" ht="15.75" customHeight="1">
      <c r="A1290" s="1">
        <v>20</v>
      </c>
      <c r="B1290" s="1" t="s">
        <v>10</v>
      </c>
      <c r="C1290" s="1">
        <v>39.4</v>
      </c>
      <c r="D1290" s="1">
        <v>2</v>
      </c>
      <c r="E1290" s="1" t="s">
        <v>8</v>
      </c>
      <c r="F1290" s="1" t="s">
        <v>9</v>
      </c>
      <c r="G1290" s="1">
        <v>38344.565999999999</v>
      </c>
      <c r="H1290" t="str">
        <f t="shared" si="20"/>
        <v>18-29</v>
      </c>
    </row>
    <row r="1291" spans="1:8" ht="15.75" customHeight="1">
      <c r="A1291" s="1">
        <v>44</v>
      </c>
      <c r="B1291" s="1" t="s">
        <v>10</v>
      </c>
      <c r="C1291" s="1">
        <v>34.32</v>
      </c>
      <c r="D1291" s="1">
        <v>1</v>
      </c>
      <c r="E1291" s="1" t="s">
        <v>11</v>
      </c>
      <c r="F1291" s="1" t="s">
        <v>12</v>
      </c>
      <c r="G1291" s="1">
        <v>7147.4727999999996</v>
      </c>
      <c r="H1291" t="str">
        <f t="shared" si="20"/>
        <v>40-49</v>
      </c>
    </row>
    <row r="1292" spans="1:8" ht="15.75" customHeight="1">
      <c r="A1292" s="1">
        <v>38</v>
      </c>
      <c r="B1292" s="1" t="s">
        <v>7</v>
      </c>
      <c r="C1292" s="1">
        <v>19.95</v>
      </c>
      <c r="D1292" s="1">
        <v>2</v>
      </c>
      <c r="E1292" s="1" t="s">
        <v>11</v>
      </c>
      <c r="F1292" s="1" t="s">
        <v>14</v>
      </c>
      <c r="G1292" s="1">
        <v>7133.9025000000001</v>
      </c>
      <c r="H1292" t="str">
        <f t="shared" si="20"/>
        <v>30-39</v>
      </c>
    </row>
    <row r="1293" spans="1:8" ht="15.75" customHeight="1">
      <c r="A1293" s="1">
        <v>19</v>
      </c>
      <c r="B1293" s="1" t="s">
        <v>10</v>
      </c>
      <c r="C1293" s="1">
        <v>34.9</v>
      </c>
      <c r="D1293" s="1">
        <v>0</v>
      </c>
      <c r="E1293" s="1" t="s">
        <v>8</v>
      </c>
      <c r="F1293" s="1" t="s">
        <v>9</v>
      </c>
      <c r="G1293" s="1">
        <v>34828.654000000002</v>
      </c>
      <c r="H1293" t="str">
        <f t="shared" si="20"/>
        <v>18-29</v>
      </c>
    </row>
    <row r="1294" spans="1:8" ht="15.75" customHeight="1">
      <c r="A1294" s="1">
        <v>21</v>
      </c>
      <c r="B1294" s="1" t="s">
        <v>10</v>
      </c>
      <c r="C1294" s="1">
        <v>23.21</v>
      </c>
      <c r="D1294" s="1">
        <v>0</v>
      </c>
      <c r="E1294" s="1" t="s">
        <v>11</v>
      </c>
      <c r="F1294" s="1" t="s">
        <v>12</v>
      </c>
      <c r="G1294" s="1">
        <v>1515.3449000000001</v>
      </c>
      <c r="H1294" t="str">
        <f t="shared" si="20"/>
        <v>18-29</v>
      </c>
    </row>
    <row r="1295" spans="1:8" ht="15.75" customHeight="1">
      <c r="A1295" s="1">
        <v>46</v>
      </c>
      <c r="B1295" s="1" t="s">
        <v>10</v>
      </c>
      <c r="C1295" s="1">
        <v>25.745000000000001</v>
      </c>
      <c r="D1295" s="1">
        <v>3</v>
      </c>
      <c r="E1295" s="1" t="s">
        <v>11</v>
      </c>
      <c r="F1295" s="1" t="s">
        <v>13</v>
      </c>
      <c r="G1295" s="1">
        <v>9301.8935500000007</v>
      </c>
      <c r="H1295" t="str">
        <f t="shared" si="20"/>
        <v>40-49</v>
      </c>
    </row>
    <row r="1296" spans="1:8" ht="15.75" customHeight="1">
      <c r="A1296" s="1">
        <v>58</v>
      </c>
      <c r="B1296" s="1" t="s">
        <v>10</v>
      </c>
      <c r="C1296" s="1">
        <v>25.175000000000001</v>
      </c>
      <c r="D1296" s="1">
        <v>0</v>
      </c>
      <c r="E1296" s="1" t="s">
        <v>11</v>
      </c>
      <c r="F1296" s="1" t="s">
        <v>14</v>
      </c>
      <c r="G1296" s="1">
        <v>11931.125249999999</v>
      </c>
      <c r="H1296" t="str">
        <f t="shared" si="20"/>
        <v>50-59</v>
      </c>
    </row>
    <row r="1297" spans="1:8" ht="15.75" customHeight="1">
      <c r="A1297" s="1">
        <v>20</v>
      </c>
      <c r="B1297" s="1" t="s">
        <v>10</v>
      </c>
      <c r="C1297" s="1">
        <v>22</v>
      </c>
      <c r="D1297" s="1">
        <v>1</v>
      </c>
      <c r="E1297" s="1" t="s">
        <v>11</v>
      </c>
      <c r="F1297" s="1" t="s">
        <v>9</v>
      </c>
      <c r="G1297" s="1">
        <v>1964.78</v>
      </c>
      <c r="H1297" t="str">
        <f t="shared" si="20"/>
        <v>18-29</v>
      </c>
    </row>
    <row r="1298" spans="1:8" ht="15.75" customHeight="1">
      <c r="A1298" s="1">
        <v>18</v>
      </c>
      <c r="B1298" s="1" t="s">
        <v>10</v>
      </c>
      <c r="C1298" s="1">
        <v>26.125</v>
      </c>
      <c r="D1298" s="1">
        <v>0</v>
      </c>
      <c r="E1298" s="1" t="s">
        <v>11</v>
      </c>
      <c r="F1298" s="1" t="s">
        <v>14</v>
      </c>
      <c r="G1298" s="1">
        <v>1708.9257500000001</v>
      </c>
      <c r="H1298" t="str">
        <f t="shared" si="20"/>
        <v>18-29</v>
      </c>
    </row>
    <row r="1299" spans="1:8" ht="15.75" customHeight="1">
      <c r="A1299" s="1">
        <v>28</v>
      </c>
      <c r="B1299" s="1" t="s">
        <v>7</v>
      </c>
      <c r="C1299" s="1">
        <v>26.51</v>
      </c>
      <c r="D1299" s="1">
        <v>2</v>
      </c>
      <c r="E1299" s="1" t="s">
        <v>11</v>
      </c>
      <c r="F1299" s="1" t="s">
        <v>12</v>
      </c>
      <c r="G1299" s="1">
        <v>4340.4408999999996</v>
      </c>
      <c r="H1299" t="str">
        <f t="shared" si="20"/>
        <v>18-29</v>
      </c>
    </row>
    <row r="1300" spans="1:8" ht="15.75" customHeight="1">
      <c r="A1300" s="1">
        <v>33</v>
      </c>
      <c r="B1300" s="1" t="s">
        <v>10</v>
      </c>
      <c r="C1300" s="1">
        <v>27.454999999999998</v>
      </c>
      <c r="D1300" s="1">
        <v>2</v>
      </c>
      <c r="E1300" s="1" t="s">
        <v>11</v>
      </c>
      <c r="F1300" s="1" t="s">
        <v>13</v>
      </c>
      <c r="G1300" s="1">
        <v>5261.4694499999996</v>
      </c>
      <c r="H1300" t="str">
        <f t="shared" si="20"/>
        <v>30-39</v>
      </c>
    </row>
    <row r="1301" spans="1:8" ht="15.75" customHeight="1">
      <c r="A1301" s="1">
        <v>19</v>
      </c>
      <c r="B1301" s="1" t="s">
        <v>7</v>
      </c>
      <c r="C1301" s="1">
        <v>25.745000000000001</v>
      </c>
      <c r="D1301" s="1">
        <v>1</v>
      </c>
      <c r="E1301" s="1" t="s">
        <v>11</v>
      </c>
      <c r="F1301" s="1" t="s">
        <v>13</v>
      </c>
      <c r="G1301" s="1">
        <v>2710.8285500000002</v>
      </c>
      <c r="H1301" t="str">
        <f t="shared" si="20"/>
        <v>18-29</v>
      </c>
    </row>
    <row r="1302" spans="1:8" ht="15.75" customHeight="1">
      <c r="A1302" s="1">
        <v>45</v>
      </c>
      <c r="B1302" s="1" t="s">
        <v>10</v>
      </c>
      <c r="C1302" s="1">
        <v>30.36</v>
      </c>
      <c r="D1302" s="1">
        <v>0</v>
      </c>
      <c r="E1302" s="1" t="s">
        <v>8</v>
      </c>
      <c r="F1302" s="1" t="s">
        <v>12</v>
      </c>
      <c r="G1302" s="1">
        <v>62592.873090000001</v>
      </c>
      <c r="H1302" t="str">
        <f t="shared" si="20"/>
        <v>40-49</v>
      </c>
    </row>
    <row r="1303" spans="1:8" ht="15.75" customHeight="1">
      <c r="A1303" s="1">
        <v>62</v>
      </c>
      <c r="B1303" s="1" t="s">
        <v>10</v>
      </c>
      <c r="C1303" s="1">
        <v>30.875</v>
      </c>
      <c r="D1303" s="1">
        <v>3</v>
      </c>
      <c r="E1303" s="1" t="s">
        <v>8</v>
      </c>
      <c r="F1303" s="1" t="s">
        <v>13</v>
      </c>
      <c r="G1303" s="1">
        <v>46718.163249999998</v>
      </c>
      <c r="H1303" t="str">
        <f t="shared" si="20"/>
        <v>60+</v>
      </c>
    </row>
    <row r="1304" spans="1:8" ht="15.75" customHeight="1">
      <c r="A1304" s="1">
        <v>25</v>
      </c>
      <c r="B1304" s="1" t="s">
        <v>7</v>
      </c>
      <c r="C1304" s="1">
        <v>20.8</v>
      </c>
      <c r="D1304" s="1">
        <v>1</v>
      </c>
      <c r="E1304" s="1" t="s">
        <v>11</v>
      </c>
      <c r="F1304" s="1" t="s">
        <v>9</v>
      </c>
      <c r="G1304" s="1">
        <v>3208.7869999999998</v>
      </c>
      <c r="H1304" t="str">
        <f t="shared" si="20"/>
        <v>18-29</v>
      </c>
    </row>
    <row r="1305" spans="1:8" ht="15.75" customHeight="1">
      <c r="A1305" s="1">
        <v>43</v>
      </c>
      <c r="B1305" s="1" t="s">
        <v>10</v>
      </c>
      <c r="C1305" s="1">
        <v>27.8</v>
      </c>
      <c r="D1305" s="1">
        <v>0</v>
      </c>
      <c r="E1305" s="1" t="s">
        <v>8</v>
      </c>
      <c r="F1305" s="1" t="s">
        <v>9</v>
      </c>
      <c r="G1305" s="1">
        <v>37829.724199999997</v>
      </c>
      <c r="H1305" t="str">
        <f t="shared" si="20"/>
        <v>40-49</v>
      </c>
    </row>
    <row r="1306" spans="1:8" ht="15.75" customHeight="1">
      <c r="A1306" s="1">
        <v>42</v>
      </c>
      <c r="B1306" s="1" t="s">
        <v>10</v>
      </c>
      <c r="C1306" s="1">
        <v>24.605</v>
      </c>
      <c r="D1306" s="1">
        <v>2</v>
      </c>
      <c r="E1306" s="1" t="s">
        <v>8</v>
      </c>
      <c r="F1306" s="1" t="s">
        <v>14</v>
      </c>
      <c r="G1306" s="1">
        <v>21259.377949999998</v>
      </c>
      <c r="H1306" t="str">
        <f t="shared" si="20"/>
        <v>40-49</v>
      </c>
    </row>
    <row r="1307" spans="1:8" ht="15.75" customHeight="1">
      <c r="A1307" s="1">
        <v>24</v>
      </c>
      <c r="B1307" s="1" t="s">
        <v>7</v>
      </c>
      <c r="C1307" s="1">
        <v>27.72</v>
      </c>
      <c r="D1307" s="1">
        <v>0</v>
      </c>
      <c r="E1307" s="1" t="s">
        <v>11</v>
      </c>
      <c r="F1307" s="1" t="s">
        <v>12</v>
      </c>
      <c r="G1307" s="1">
        <v>2464.6188000000002</v>
      </c>
      <c r="H1307" t="str">
        <f t="shared" si="20"/>
        <v>18-29</v>
      </c>
    </row>
    <row r="1308" spans="1:8" ht="15.75" customHeight="1">
      <c r="A1308" s="1">
        <v>29</v>
      </c>
      <c r="B1308" s="1" t="s">
        <v>7</v>
      </c>
      <c r="C1308" s="1">
        <v>21.85</v>
      </c>
      <c r="D1308" s="1">
        <v>0</v>
      </c>
      <c r="E1308" s="1" t="s">
        <v>8</v>
      </c>
      <c r="F1308" s="1" t="s">
        <v>14</v>
      </c>
      <c r="G1308" s="1">
        <v>16115.3045</v>
      </c>
      <c r="H1308" t="str">
        <f t="shared" si="20"/>
        <v>18-29</v>
      </c>
    </row>
    <row r="1309" spans="1:8" ht="15.75" customHeight="1">
      <c r="A1309" s="1">
        <v>32</v>
      </c>
      <c r="B1309" s="1" t="s">
        <v>10</v>
      </c>
      <c r="C1309" s="1">
        <v>28.12</v>
      </c>
      <c r="D1309" s="1">
        <v>4</v>
      </c>
      <c r="E1309" s="1" t="s">
        <v>8</v>
      </c>
      <c r="F1309" s="1" t="s">
        <v>13</v>
      </c>
      <c r="G1309" s="1">
        <v>21472.478800000001</v>
      </c>
      <c r="H1309" t="str">
        <f t="shared" si="20"/>
        <v>30-39</v>
      </c>
    </row>
    <row r="1310" spans="1:8" ht="15.75" customHeight="1">
      <c r="A1310" s="1">
        <v>25</v>
      </c>
      <c r="B1310" s="1" t="s">
        <v>7</v>
      </c>
      <c r="C1310" s="1">
        <v>30.2</v>
      </c>
      <c r="D1310" s="1">
        <v>0</v>
      </c>
      <c r="E1310" s="1" t="s">
        <v>8</v>
      </c>
      <c r="F1310" s="1" t="s">
        <v>9</v>
      </c>
      <c r="G1310" s="1">
        <v>33900.652999999998</v>
      </c>
      <c r="H1310" t="str">
        <f t="shared" si="20"/>
        <v>18-29</v>
      </c>
    </row>
    <row r="1311" spans="1:8" ht="15.75" customHeight="1">
      <c r="A1311" s="1">
        <v>41</v>
      </c>
      <c r="B1311" s="1" t="s">
        <v>10</v>
      </c>
      <c r="C1311" s="1">
        <v>32.200000000000003</v>
      </c>
      <c r="D1311" s="1">
        <v>2</v>
      </c>
      <c r="E1311" s="1" t="s">
        <v>11</v>
      </c>
      <c r="F1311" s="1" t="s">
        <v>9</v>
      </c>
      <c r="G1311" s="1">
        <v>6875.9610000000002</v>
      </c>
      <c r="H1311" t="str">
        <f t="shared" si="20"/>
        <v>40-49</v>
      </c>
    </row>
    <row r="1312" spans="1:8" ht="15.75" customHeight="1">
      <c r="A1312" s="1">
        <v>42</v>
      </c>
      <c r="B1312" s="1" t="s">
        <v>10</v>
      </c>
      <c r="C1312" s="1">
        <v>26.315000000000001</v>
      </c>
      <c r="D1312" s="1">
        <v>1</v>
      </c>
      <c r="E1312" s="1" t="s">
        <v>11</v>
      </c>
      <c r="F1312" s="1" t="s">
        <v>13</v>
      </c>
      <c r="G1312" s="1">
        <v>6940.90985</v>
      </c>
      <c r="H1312" t="str">
        <f t="shared" si="20"/>
        <v>40-49</v>
      </c>
    </row>
    <row r="1313" spans="1:8" ht="15.75" customHeight="1">
      <c r="A1313" s="1">
        <v>33</v>
      </c>
      <c r="B1313" s="1" t="s">
        <v>7</v>
      </c>
      <c r="C1313" s="1">
        <v>26.695</v>
      </c>
      <c r="D1313" s="1">
        <v>0</v>
      </c>
      <c r="E1313" s="1" t="s">
        <v>11</v>
      </c>
      <c r="F1313" s="1" t="s">
        <v>13</v>
      </c>
      <c r="G1313" s="1">
        <v>4571.4130500000001</v>
      </c>
      <c r="H1313" t="str">
        <f t="shared" si="20"/>
        <v>30-39</v>
      </c>
    </row>
    <row r="1314" spans="1:8" ht="15.75" customHeight="1">
      <c r="A1314" s="1">
        <v>34</v>
      </c>
      <c r="B1314" s="1" t="s">
        <v>10</v>
      </c>
      <c r="C1314" s="1">
        <v>42.9</v>
      </c>
      <c r="D1314" s="1">
        <v>1</v>
      </c>
      <c r="E1314" s="1" t="s">
        <v>11</v>
      </c>
      <c r="F1314" s="1" t="s">
        <v>9</v>
      </c>
      <c r="G1314" s="1">
        <v>4536.259</v>
      </c>
      <c r="H1314" t="str">
        <f t="shared" si="20"/>
        <v>30-39</v>
      </c>
    </row>
    <row r="1315" spans="1:8" ht="15.75" customHeight="1">
      <c r="A1315" s="1">
        <v>19</v>
      </c>
      <c r="B1315" s="1" t="s">
        <v>7</v>
      </c>
      <c r="C1315" s="1">
        <v>34.700000000000003</v>
      </c>
      <c r="D1315" s="1">
        <v>2</v>
      </c>
      <c r="E1315" s="1" t="s">
        <v>8</v>
      </c>
      <c r="F1315" s="1" t="s">
        <v>9</v>
      </c>
      <c r="G1315" s="1">
        <v>36397.576000000001</v>
      </c>
      <c r="H1315" t="str">
        <f t="shared" si="20"/>
        <v>18-29</v>
      </c>
    </row>
    <row r="1316" spans="1:8" ht="15.75" customHeight="1">
      <c r="A1316" s="1">
        <v>30</v>
      </c>
      <c r="B1316" s="1" t="s">
        <v>7</v>
      </c>
      <c r="C1316" s="1">
        <v>23.655000000000001</v>
      </c>
      <c r="D1316" s="1">
        <v>3</v>
      </c>
      <c r="E1316" s="1" t="s">
        <v>8</v>
      </c>
      <c r="F1316" s="1" t="s">
        <v>13</v>
      </c>
      <c r="G1316" s="1">
        <v>18765.87545</v>
      </c>
      <c r="H1316" t="str">
        <f t="shared" si="20"/>
        <v>30-39</v>
      </c>
    </row>
    <row r="1317" spans="1:8" ht="15.75" customHeight="1">
      <c r="A1317" s="1">
        <v>18</v>
      </c>
      <c r="B1317" s="1" t="s">
        <v>10</v>
      </c>
      <c r="C1317" s="1">
        <v>28.31</v>
      </c>
      <c r="D1317" s="1">
        <v>1</v>
      </c>
      <c r="E1317" s="1" t="s">
        <v>11</v>
      </c>
      <c r="F1317" s="1" t="s">
        <v>14</v>
      </c>
      <c r="G1317" s="1">
        <v>11272.331389999999</v>
      </c>
      <c r="H1317" t="str">
        <f t="shared" si="20"/>
        <v>18-29</v>
      </c>
    </row>
    <row r="1318" spans="1:8" ht="15.75" customHeight="1">
      <c r="A1318" s="1">
        <v>19</v>
      </c>
      <c r="B1318" s="1" t="s">
        <v>7</v>
      </c>
      <c r="C1318" s="1">
        <v>20.6</v>
      </c>
      <c r="D1318" s="1">
        <v>0</v>
      </c>
      <c r="E1318" s="1" t="s">
        <v>11</v>
      </c>
      <c r="F1318" s="1" t="s">
        <v>9</v>
      </c>
      <c r="G1318" s="1">
        <v>1731.6769999999999</v>
      </c>
      <c r="H1318" t="str">
        <f t="shared" si="20"/>
        <v>18-29</v>
      </c>
    </row>
    <row r="1319" spans="1:8" ht="15.75" customHeight="1">
      <c r="A1319" s="1">
        <v>18</v>
      </c>
      <c r="B1319" s="1" t="s">
        <v>10</v>
      </c>
      <c r="C1319" s="1">
        <v>53.13</v>
      </c>
      <c r="D1319" s="1">
        <v>0</v>
      </c>
      <c r="E1319" s="1" t="s">
        <v>11</v>
      </c>
      <c r="F1319" s="1" t="s">
        <v>12</v>
      </c>
      <c r="G1319" s="1">
        <v>1163.4627</v>
      </c>
      <c r="H1319" t="str">
        <f t="shared" si="20"/>
        <v>18-29</v>
      </c>
    </row>
    <row r="1320" spans="1:8" ht="15.75" customHeight="1">
      <c r="A1320" s="1">
        <v>35</v>
      </c>
      <c r="B1320" s="1" t="s">
        <v>10</v>
      </c>
      <c r="C1320" s="1">
        <v>39.71</v>
      </c>
      <c r="D1320" s="1">
        <v>4</v>
      </c>
      <c r="E1320" s="1" t="s">
        <v>11</v>
      </c>
      <c r="F1320" s="1" t="s">
        <v>14</v>
      </c>
      <c r="G1320" s="1">
        <v>19496.71917</v>
      </c>
      <c r="H1320" t="str">
        <f t="shared" si="20"/>
        <v>30-39</v>
      </c>
    </row>
    <row r="1321" spans="1:8" ht="15.75" customHeight="1">
      <c r="A1321" s="1">
        <v>39</v>
      </c>
      <c r="B1321" s="1" t="s">
        <v>7</v>
      </c>
      <c r="C1321" s="1">
        <v>26.315000000000001</v>
      </c>
      <c r="D1321" s="1">
        <v>2</v>
      </c>
      <c r="E1321" s="1" t="s">
        <v>11</v>
      </c>
      <c r="F1321" s="1" t="s">
        <v>13</v>
      </c>
      <c r="G1321" s="1">
        <v>7201.7008500000002</v>
      </c>
      <c r="H1321" t="str">
        <f t="shared" si="20"/>
        <v>30-39</v>
      </c>
    </row>
    <row r="1322" spans="1:8" ht="15.75" customHeight="1">
      <c r="A1322" s="1">
        <v>31</v>
      </c>
      <c r="B1322" s="1" t="s">
        <v>10</v>
      </c>
      <c r="C1322" s="1">
        <v>31.065000000000001</v>
      </c>
      <c r="D1322" s="1">
        <v>3</v>
      </c>
      <c r="E1322" s="1" t="s">
        <v>11</v>
      </c>
      <c r="F1322" s="1" t="s">
        <v>13</v>
      </c>
      <c r="G1322" s="1">
        <v>5425.0233500000004</v>
      </c>
      <c r="H1322" t="str">
        <f t="shared" si="20"/>
        <v>30-39</v>
      </c>
    </row>
    <row r="1323" spans="1:8" ht="15.75" customHeight="1">
      <c r="A1323" s="1">
        <v>62</v>
      </c>
      <c r="B1323" s="1" t="s">
        <v>10</v>
      </c>
      <c r="C1323" s="1">
        <v>26.695</v>
      </c>
      <c r="D1323" s="1">
        <v>0</v>
      </c>
      <c r="E1323" s="1" t="s">
        <v>8</v>
      </c>
      <c r="F1323" s="1" t="s">
        <v>14</v>
      </c>
      <c r="G1323" s="1">
        <v>28101.333050000001</v>
      </c>
      <c r="H1323" t="str">
        <f t="shared" si="20"/>
        <v>60+</v>
      </c>
    </row>
    <row r="1324" spans="1:8" ht="15.75" customHeight="1">
      <c r="A1324" s="1">
        <v>62</v>
      </c>
      <c r="B1324" s="1" t="s">
        <v>10</v>
      </c>
      <c r="C1324" s="1">
        <v>38.83</v>
      </c>
      <c r="D1324" s="1">
        <v>0</v>
      </c>
      <c r="E1324" s="1" t="s">
        <v>11</v>
      </c>
      <c r="F1324" s="1" t="s">
        <v>12</v>
      </c>
      <c r="G1324" s="1">
        <v>12981.3457</v>
      </c>
      <c r="H1324" t="str">
        <f t="shared" si="20"/>
        <v>60+</v>
      </c>
    </row>
    <row r="1325" spans="1:8" ht="15.75" customHeight="1">
      <c r="A1325" s="1">
        <v>42</v>
      </c>
      <c r="B1325" s="1" t="s">
        <v>7</v>
      </c>
      <c r="C1325" s="1">
        <v>40.369999999999997</v>
      </c>
      <c r="D1325" s="1">
        <v>2</v>
      </c>
      <c r="E1325" s="1" t="s">
        <v>8</v>
      </c>
      <c r="F1325" s="1" t="s">
        <v>12</v>
      </c>
      <c r="G1325" s="1">
        <v>43896.376300000004</v>
      </c>
      <c r="H1325" t="str">
        <f t="shared" si="20"/>
        <v>40-49</v>
      </c>
    </row>
    <row r="1326" spans="1:8" ht="15.75" customHeight="1">
      <c r="A1326" s="1">
        <v>31</v>
      </c>
      <c r="B1326" s="1" t="s">
        <v>10</v>
      </c>
      <c r="C1326" s="1">
        <v>25.934999999999999</v>
      </c>
      <c r="D1326" s="1">
        <v>1</v>
      </c>
      <c r="E1326" s="1" t="s">
        <v>11</v>
      </c>
      <c r="F1326" s="1" t="s">
        <v>13</v>
      </c>
      <c r="G1326" s="1">
        <v>4239.8926499999998</v>
      </c>
      <c r="H1326" t="str">
        <f t="shared" si="20"/>
        <v>30-39</v>
      </c>
    </row>
    <row r="1327" spans="1:8" ht="15.75" customHeight="1">
      <c r="A1327" s="1">
        <v>61</v>
      </c>
      <c r="B1327" s="1" t="s">
        <v>10</v>
      </c>
      <c r="C1327" s="1">
        <v>33.534999999999997</v>
      </c>
      <c r="D1327" s="1">
        <v>0</v>
      </c>
      <c r="E1327" s="1" t="s">
        <v>11</v>
      </c>
      <c r="F1327" s="1" t="s">
        <v>14</v>
      </c>
      <c r="G1327" s="1">
        <v>13143.336649999999</v>
      </c>
      <c r="H1327" t="str">
        <f t="shared" si="20"/>
        <v>60+</v>
      </c>
    </row>
    <row r="1328" spans="1:8" ht="15.75" customHeight="1">
      <c r="A1328" s="1">
        <v>42</v>
      </c>
      <c r="B1328" s="1" t="s">
        <v>7</v>
      </c>
      <c r="C1328" s="1">
        <v>32.869999999999997</v>
      </c>
      <c r="D1328" s="1">
        <v>0</v>
      </c>
      <c r="E1328" s="1" t="s">
        <v>11</v>
      </c>
      <c r="F1328" s="1" t="s">
        <v>14</v>
      </c>
      <c r="G1328" s="1">
        <v>7050.0213000000003</v>
      </c>
      <c r="H1328" t="str">
        <f t="shared" si="20"/>
        <v>40-49</v>
      </c>
    </row>
    <row r="1329" spans="1:8" ht="15.75" customHeight="1">
      <c r="A1329" s="1">
        <v>51</v>
      </c>
      <c r="B1329" s="1" t="s">
        <v>10</v>
      </c>
      <c r="C1329" s="1">
        <v>30.03</v>
      </c>
      <c r="D1329" s="1">
        <v>1</v>
      </c>
      <c r="E1329" s="1" t="s">
        <v>11</v>
      </c>
      <c r="F1329" s="1" t="s">
        <v>12</v>
      </c>
      <c r="G1329" s="1">
        <v>9377.9046999999991</v>
      </c>
      <c r="H1329" t="str">
        <f t="shared" si="20"/>
        <v>50-59</v>
      </c>
    </row>
    <row r="1330" spans="1:8" ht="15.75" customHeight="1">
      <c r="A1330" s="1">
        <v>23</v>
      </c>
      <c r="B1330" s="1" t="s">
        <v>7</v>
      </c>
      <c r="C1330" s="1">
        <v>24.225000000000001</v>
      </c>
      <c r="D1330" s="1">
        <v>2</v>
      </c>
      <c r="E1330" s="1" t="s">
        <v>11</v>
      </c>
      <c r="F1330" s="1" t="s">
        <v>14</v>
      </c>
      <c r="G1330" s="1">
        <v>22395.74424</v>
      </c>
      <c r="H1330" t="str">
        <f t="shared" si="20"/>
        <v>18-29</v>
      </c>
    </row>
    <row r="1331" spans="1:8" ht="15.75" customHeight="1">
      <c r="A1331" s="1">
        <v>52</v>
      </c>
      <c r="B1331" s="1" t="s">
        <v>10</v>
      </c>
      <c r="C1331" s="1">
        <v>38.6</v>
      </c>
      <c r="D1331" s="1">
        <v>2</v>
      </c>
      <c r="E1331" s="1" t="s">
        <v>11</v>
      </c>
      <c r="F1331" s="1" t="s">
        <v>9</v>
      </c>
      <c r="G1331" s="1">
        <v>10325.206</v>
      </c>
      <c r="H1331" t="str">
        <f t="shared" si="20"/>
        <v>50-59</v>
      </c>
    </row>
    <row r="1332" spans="1:8" ht="15.75" customHeight="1">
      <c r="A1332" s="1">
        <v>57</v>
      </c>
      <c r="B1332" s="1" t="s">
        <v>7</v>
      </c>
      <c r="C1332" s="1">
        <v>25.74</v>
      </c>
      <c r="D1332" s="1">
        <v>2</v>
      </c>
      <c r="E1332" s="1" t="s">
        <v>11</v>
      </c>
      <c r="F1332" s="1" t="s">
        <v>12</v>
      </c>
      <c r="G1332" s="1">
        <v>12629.1656</v>
      </c>
      <c r="H1332" t="str">
        <f t="shared" si="20"/>
        <v>50-59</v>
      </c>
    </row>
    <row r="1333" spans="1:8" ht="15.75" customHeight="1">
      <c r="A1333" s="1">
        <v>23</v>
      </c>
      <c r="B1333" s="1" t="s">
        <v>7</v>
      </c>
      <c r="C1333" s="1">
        <v>33.4</v>
      </c>
      <c r="D1333" s="1">
        <v>0</v>
      </c>
      <c r="E1333" s="1" t="s">
        <v>11</v>
      </c>
      <c r="F1333" s="1" t="s">
        <v>9</v>
      </c>
      <c r="G1333" s="1">
        <v>10795.937330000001</v>
      </c>
      <c r="H1333" t="str">
        <f t="shared" si="20"/>
        <v>18-29</v>
      </c>
    </row>
    <row r="1334" spans="1:8" ht="15.75" customHeight="1">
      <c r="A1334" s="1">
        <v>52</v>
      </c>
      <c r="B1334" s="1" t="s">
        <v>7</v>
      </c>
      <c r="C1334" s="1">
        <v>44.7</v>
      </c>
      <c r="D1334" s="1">
        <v>3</v>
      </c>
      <c r="E1334" s="1" t="s">
        <v>11</v>
      </c>
      <c r="F1334" s="1" t="s">
        <v>9</v>
      </c>
      <c r="G1334" s="1">
        <v>11411.684999999999</v>
      </c>
      <c r="H1334" t="str">
        <f t="shared" si="20"/>
        <v>50-59</v>
      </c>
    </row>
    <row r="1335" spans="1:8" ht="15.75" customHeight="1">
      <c r="A1335" s="1">
        <v>50</v>
      </c>
      <c r="B1335" s="1" t="s">
        <v>10</v>
      </c>
      <c r="C1335" s="1">
        <v>30.97</v>
      </c>
      <c r="D1335" s="1">
        <v>3</v>
      </c>
      <c r="E1335" s="1" t="s">
        <v>11</v>
      </c>
      <c r="F1335" s="1" t="s">
        <v>13</v>
      </c>
      <c r="G1335" s="1">
        <v>10600.5483</v>
      </c>
      <c r="H1335" t="str">
        <f t="shared" si="20"/>
        <v>50-59</v>
      </c>
    </row>
    <row r="1336" spans="1:8" ht="15.75" customHeight="1">
      <c r="A1336" s="1">
        <v>18</v>
      </c>
      <c r="B1336" s="1" t="s">
        <v>7</v>
      </c>
      <c r="C1336" s="1">
        <v>31.92</v>
      </c>
      <c r="D1336" s="1">
        <v>0</v>
      </c>
      <c r="E1336" s="1" t="s">
        <v>11</v>
      </c>
      <c r="F1336" s="1" t="s">
        <v>14</v>
      </c>
      <c r="G1336" s="1">
        <v>2205.9807999999998</v>
      </c>
      <c r="H1336" t="str">
        <f t="shared" si="20"/>
        <v>18-29</v>
      </c>
    </row>
    <row r="1337" spans="1:8" ht="15.75" customHeight="1">
      <c r="A1337" s="1">
        <v>18</v>
      </c>
      <c r="B1337" s="1" t="s">
        <v>7</v>
      </c>
      <c r="C1337" s="1">
        <v>36.85</v>
      </c>
      <c r="D1337" s="1">
        <v>0</v>
      </c>
      <c r="E1337" s="1" t="s">
        <v>11</v>
      </c>
      <c r="F1337" s="1" t="s">
        <v>12</v>
      </c>
      <c r="G1337" s="1">
        <v>1629.8335</v>
      </c>
      <c r="H1337" t="str">
        <f t="shared" si="20"/>
        <v>18-29</v>
      </c>
    </row>
    <row r="1338" spans="1:8" ht="15.75" customHeight="1">
      <c r="A1338" s="1">
        <v>21</v>
      </c>
      <c r="B1338" s="1" t="s">
        <v>7</v>
      </c>
      <c r="C1338" s="1">
        <v>25.8</v>
      </c>
      <c r="D1338" s="1">
        <v>0</v>
      </c>
      <c r="E1338" s="1" t="s">
        <v>11</v>
      </c>
      <c r="F1338" s="1" t="s">
        <v>9</v>
      </c>
      <c r="G1338" s="1">
        <v>2007.9449999999999</v>
      </c>
      <c r="H1338" t="str">
        <f t="shared" si="20"/>
        <v>18-29</v>
      </c>
    </row>
    <row r="1339" spans="1:8" ht="15.75" customHeight="1">
      <c r="A1339" s="1">
        <v>61</v>
      </c>
      <c r="B1339" s="1" t="s">
        <v>7</v>
      </c>
      <c r="C1339" s="1">
        <v>29.07</v>
      </c>
      <c r="D1339" s="1">
        <v>0</v>
      </c>
      <c r="E1339" s="1" t="s">
        <v>8</v>
      </c>
      <c r="F1339" s="1" t="s">
        <v>13</v>
      </c>
      <c r="G1339" s="1">
        <v>29141.3603</v>
      </c>
      <c r="H1339" t="str">
        <f t="shared" si="20"/>
        <v>60+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8"/>
  <sheetViews>
    <sheetView zoomScale="140" zoomScaleNormal="140" workbookViewId="0">
      <selection activeCell="C9" sqref="C9"/>
    </sheetView>
  </sheetViews>
  <sheetFormatPr baseColWidth="10" defaultColWidth="14.5" defaultRowHeight="15" customHeight="1"/>
  <cols>
    <col min="2" max="2" width="30.33203125" bestFit="1" customWidth="1"/>
  </cols>
  <sheetData>
    <row r="1" spans="1:3" ht="15" customHeight="1">
      <c r="A1" t="s">
        <v>15</v>
      </c>
      <c r="B1" t="s">
        <v>16</v>
      </c>
      <c r="C1" t="s">
        <v>17</v>
      </c>
    </row>
    <row r="2" spans="1:3" ht="15" customHeight="1">
      <c r="A2" t="s">
        <v>0</v>
      </c>
      <c r="B2" t="s">
        <v>18</v>
      </c>
      <c r="C2" t="s">
        <v>25</v>
      </c>
    </row>
    <row r="3" spans="1:3" ht="15" customHeight="1">
      <c r="A3" t="s">
        <v>1</v>
      </c>
      <c r="B3" t="s">
        <v>19</v>
      </c>
      <c r="C3" t="s">
        <v>26</v>
      </c>
    </row>
    <row r="4" spans="1:3" ht="15" customHeight="1">
      <c r="A4" t="s">
        <v>2</v>
      </c>
      <c r="B4" t="s">
        <v>20</v>
      </c>
      <c r="C4" t="s">
        <v>25</v>
      </c>
    </row>
    <row r="5" spans="1:3" ht="15" customHeight="1">
      <c r="A5" t="s">
        <v>3</v>
      </c>
      <c r="B5" t="s">
        <v>21</v>
      </c>
      <c r="C5" t="s">
        <v>25</v>
      </c>
    </row>
    <row r="6" spans="1:3" ht="15" customHeight="1">
      <c r="A6" t="s">
        <v>4</v>
      </c>
      <c r="B6" t="s">
        <v>22</v>
      </c>
      <c r="C6" t="s">
        <v>26</v>
      </c>
    </row>
    <row r="7" spans="1:3" ht="15" customHeight="1">
      <c r="A7" t="s">
        <v>5</v>
      </c>
      <c r="B7" t="s">
        <v>23</v>
      </c>
      <c r="C7" t="s">
        <v>26</v>
      </c>
    </row>
    <row r="8" spans="1:3" ht="15" customHeight="1">
      <c r="A8" t="s">
        <v>6</v>
      </c>
      <c r="B8" t="s">
        <v>24</v>
      </c>
      <c r="C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8"/>
  <sheetViews>
    <sheetView zoomScale="138" zoomScaleNormal="138" workbookViewId="0">
      <selection activeCell="A8" sqref="A8"/>
    </sheetView>
  </sheetViews>
  <sheetFormatPr baseColWidth="10" defaultColWidth="14.5" defaultRowHeight="15" customHeight="1"/>
  <sheetData>
    <row r="1" spans="1:1" ht="15" customHeight="1">
      <c r="A1" t="s">
        <v>27</v>
      </c>
    </row>
    <row r="3" spans="1:1" ht="15" customHeight="1">
      <c r="A3" s="1" t="s">
        <v>28</v>
      </c>
    </row>
    <row r="4" spans="1:1" ht="15" customHeight="1">
      <c r="A4" s="1" t="s">
        <v>29</v>
      </c>
    </row>
    <row r="5" spans="1:1" ht="15" customHeight="1">
      <c r="A5" s="1" t="s">
        <v>30</v>
      </c>
    </row>
    <row r="6" spans="1:1" ht="15" customHeight="1">
      <c r="A6" s="1" t="s">
        <v>55</v>
      </c>
    </row>
    <row r="7" spans="1:1" ht="15" customHeight="1">
      <c r="A7" s="1" t="s">
        <v>31</v>
      </c>
    </row>
    <row r="8" spans="1:1" ht="15" customHeight="1">
      <c r="A8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447"/>
  <sheetViews>
    <sheetView tabSelected="1" topLeftCell="A34" zoomScale="130" zoomScaleNormal="130" workbookViewId="0">
      <selection activeCell="D50" sqref="D50"/>
    </sheetView>
  </sheetViews>
  <sheetFormatPr baseColWidth="10" defaultColWidth="14.5" defaultRowHeight="15" customHeight="1"/>
  <cols>
    <col min="1" max="1" width="44.5" bestFit="1" customWidth="1"/>
    <col min="3" max="3" width="16" bestFit="1" customWidth="1"/>
    <col min="4" max="4" width="33.33203125" customWidth="1"/>
    <col min="8" max="8" width="22.6640625" customWidth="1"/>
  </cols>
  <sheetData>
    <row r="1" spans="1:8" ht="15" customHeight="1">
      <c r="A1" s="3" t="s">
        <v>28</v>
      </c>
    </row>
    <row r="3" spans="1:8" ht="15" customHeight="1">
      <c r="A3" s="1" t="s">
        <v>33</v>
      </c>
      <c r="B3" s="2">
        <f>AVERAGE(Insurance!G:G)</f>
        <v>13270.422265141257</v>
      </c>
      <c r="H3" s="20" t="s">
        <v>50</v>
      </c>
    </row>
    <row r="4" spans="1:8" ht="15" customHeight="1">
      <c r="A4" s="1" t="s">
        <v>34</v>
      </c>
      <c r="B4" s="2">
        <f>MEDIAN(Insurance!G:G)</f>
        <v>9382.0329999999994</v>
      </c>
      <c r="H4" s="6" t="s">
        <v>48</v>
      </c>
    </row>
    <row r="5" spans="1:8" ht="15" customHeight="1">
      <c r="A5" s="1" t="s">
        <v>35</v>
      </c>
      <c r="B5" s="2">
        <f>MIN(Insurance!G:G)</f>
        <v>1121.8739</v>
      </c>
    </row>
    <row r="6" spans="1:8" ht="15" customHeight="1">
      <c r="A6" s="1" t="s">
        <v>36</v>
      </c>
      <c r="B6" s="2">
        <f>MAX(Insurance!G:G)</f>
        <v>63770.428010000003</v>
      </c>
    </row>
    <row r="7" spans="1:8" ht="15" customHeight="1">
      <c r="A7" s="1" t="s">
        <v>37</v>
      </c>
      <c r="B7" s="2">
        <f>_xlfn.STDEV.S(Insurance!G:G)</f>
        <v>12110.01123669401</v>
      </c>
    </row>
    <row r="10" spans="1:8" ht="15" customHeight="1">
      <c r="A10" s="1" t="s">
        <v>38</v>
      </c>
      <c r="B10" s="1" t="s">
        <v>40</v>
      </c>
      <c r="C10" s="1" t="s">
        <v>39</v>
      </c>
    </row>
    <row r="11" spans="1:8" ht="15" customHeight="1">
      <c r="A11" s="1" t="s">
        <v>41</v>
      </c>
      <c r="B11" s="4">
        <f>AVERAGEIF(Insurance!H:H, A11, Insurance!G:G)</f>
        <v>9182.4871251534732</v>
      </c>
      <c r="C11">
        <f>COUNTIF(Insurance!H:H,A11)</f>
        <v>417</v>
      </c>
    </row>
    <row r="12" spans="1:8" ht="15" customHeight="1">
      <c r="A12" s="1" t="s">
        <v>42</v>
      </c>
      <c r="B12" s="4">
        <f>AVERAGEIF(Insurance!H:H, A12, Insurance!G:G)</f>
        <v>11738.784117354091</v>
      </c>
      <c r="C12">
        <f>COUNTIF(Insurance!H:H,A12)</f>
        <v>257</v>
      </c>
    </row>
    <row r="13" spans="1:8" ht="15" customHeight="1">
      <c r="A13" s="1" t="s">
        <v>43</v>
      </c>
      <c r="B13" s="4">
        <f>AVERAGEIF(Insurance!H:H, A13, Insurance!G:G)</f>
        <v>14399.203563870966</v>
      </c>
      <c r="C13">
        <f>COUNTIF(Insurance!H:H,A13)</f>
        <v>279</v>
      </c>
    </row>
    <row r="14" spans="1:8" ht="15" customHeight="1">
      <c r="A14" s="1" t="s">
        <v>44</v>
      </c>
      <c r="B14" s="4">
        <f>AVERAGEIF(Insurance!H:H, A14, Insurance!G:G)</f>
        <v>16495.232664981537</v>
      </c>
      <c r="C14">
        <f>COUNTIF(Insurance!H:H,A14)</f>
        <v>271</v>
      </c>
    </row>
    <row r="15" spans="1:8" ht="15" customHeight="1">
      <c r="A15" s="1" t="s">
        <v>45</v>
      </c>
      <c r="B15" s="4">
        <f>AVERAGEIF(Insurance!H:H, A15, Insurance!G:G)</f>
        <v>21248.021884912272</v>
      </c>
      <c r="C15">
        <f>COUNTIF(Insurance!H:H,A15)</f>
        <v>114</v>
      </c>
    </row>
    <row r="18" spans="1:2" ht="15" customHeight="1">
      <c r="A18" s="3" t="s">
        <v>29</v>
      </c>
    </row>
    <row r="20" spans="1:2" ht="15" customHeight="1">
      <c r="A20" s="1" t="s">
        <v>47</v>
      </c>
      <c r="B20" s="18">
        <f>CORREL(Insurance!C:C, Insurance!G:G)</f>
        <v>0.19834096883362906</v>
      </c>
    </row>
    <row r="21" spans="1:2" ht="15" customHeight="1">
      <c r="B21" s="5" t="s">
        <v>51</v>
      </c>
    </row>
    <row r="42" spans="1:3" ht="15" customHeight="1">
      <c r="A42" s="3" t="s">
        <v>30</v>
      </c>
    </row>
    <row r="44" spans="1:3" ht="15" customHeight="1">
      <c r="A44" s="1" t="s">
        <v>52</v>
      </c>
      <c r="B44" s="1" t="s">
        <v>40</v>
      </c>
      <c r="C44" s="1" t="s">
        <v>39</v>
      </c>
    </row>
    <row r="45" spans="1:3" ht="15" customHeight="1">
      <c r="A45" s="1" t="s">
        <v>8</v>
      </c>
      <c r="B45" s="4">
        <f>AVERAGEIF(Insurance!E:E,A45,Insurance!G:G)</f>
        <v>32050.231831532848</v>
      </c>
      <c r="C45">
        <f>COUNTIF(Insurance!E:E,A45)</f>
        <v>274</v>
      </c>
    </row>
    <row r="46" spans="1:3" ht="15" customHeight="1">
      <c r="A46" s="1" t="s">
        <v>11</v>
      </c>
      <c r="B46" s="4">
        <f>AVERAGEIF(Insurance!E:E,A46,Insurance!G:G)</f>
        <v>8434.2682978561988</v>
      </c>
      <c r="C46">
        <f>COUNTIF(Insurance!E:E,A46)</f>
        <v>1064</v>
      </c>
    </row>
    <row r="50" spans="1:4" ht="15" customHeight="1">
      <c r="D50" s="17" t="s">
        <v>54</v>
      </c>
    </row>
    <row r="64" spans="1:4" ht="15" customHeight="1">
      <c r="A64" s="3" t="s">
        <v>55</v>
      </c>
    </row>
    <row r="66" spans="1:4" ht="15" customHeight="1">
      <c r="A66" s="1" t="s">
        <v>56</v>
      </c>
      <c r="B66" s="1" t="s">
        <v>40</v>
      </c>
      <c r="C66" s="1" t="s">
        <v>39</v>
      </c>
    </row>
    <row r="67" spans="1:4" ht="15" customHeight="1">
      <c r="A67">
        <v>0</v>
      </c>
      <c r="B67" s="2">
        <f>AVERAGEIF(Insurance!D:D,A67,Insurance!G:G)</f>
        <v>12365.975601635882</v>
      </c>
      <c r="C67">
        <f>COUNTIF(Insurance!D:D,A67)</f>
        <v>574</v>
      </c>
    </row>
    <row r="68" spans="1:4" ht="15" customHeight="1">
      <c r="A68">
        <v>1</v>
      </c>
      <c r="B68" s="2">
        <f>AVERAGEIF(Insurance!D:D,A68,Insurance!G:G)</f>
        <v>12731.171831635793</v>
      </c>
      <c r="C68">
        <f>COUNTIF(Insurance!D:D,A68)</f>
        <v>324</v>
      </c>
    </row>
    <row r="69" spans="1:4" ht="15" customHeight="1">
      <c r="A69">
        <v>2</v>
      </c>
      <c r="B69" s="2">
        <f>AVERAGEIF(Insurance!D:D,A69,Insurance!G:G)</f>
        <v>15073.563733958328</v>
      </c>
      <c r="C69">
        <f>COUNTIF(Insurance!D:D,A69)</f>
        <v>240</v>
      </c>
    </row>
    <row r="70" spans="1:4" ht="15" customHeight="1">
      <c r="A70">
        <v>3</v>
      </c>
      <c r="B70" s="2">
        <f>AVERAGEIF(Insurance!D:D,A70,Insurance!G:G)</f>
        <v>15355.31836681528</v>
      </c>
      <c r="C70">
        <f>COUNTIF(Insurance!D:D,A70)</f>
        <v>157</v>
      </c>
    </row>
    <row r="71" spans="1:4" ht="15" customHeight="1">
      <c r="A71">
        <v>4</v>
      </c>
      <c r="B71" s="2">
        <f>AVERAGEIF(Insurance!D:D,A71,Insurance!G:G)</f>
        <v>13850.656311199999</v>
      </c>
      <c r="C71">
        <f>COUNTIF(Insurance!D:D,A71)</f>
        <v>25</v>
      </c>
    </row>
    <row r="72" spans="1:4" ht="15" customHeight="1">
      <c r="A72">
        <v>5</v>
      </c>
      <c r="B72" s="2">
        <f>AVERAGEIF(Insurance!D:D,A72,Insurance!G:G)</f>
        <v>8786.0352472222221</v>
      </c>
      <c r="C72">
        <f>COUNTIF(Insurance!D:D,A72)</f>
        <v>18</v>
      </c>
    </row>
    <row r="78" spans="1:4" ht="15" customHeight="1">
      <c r="D78" s="17" t="s">
        <v>57</v>
      </c>
    </row>
    <row r="90" spans="1:3" ht="15" customHeight="1">
      <c r="A90" s="3" t="s">
        <v>31</v>
      </c>
    </row>
    <row r="92" spans="1:3" ht="15" customHeight="1">
      <c r="A92" s="1" t="s">
        <v>58</v>
      </c>
      <c r="B92" s="1" t="s">
        <v>59</v>
      </c>
    </row>
    <row r="93" spans="1:3" ht="15" customHeight="1">
      <c r="A93" s="1" t="s">
        <v>60</v>
      </c>
      <c r="B93" s="19">
        <f>CORREL(Insurance!A:A, Insurance!G:G)</f>
        <v>0.29900819333064782</v>
      </c>
      <c r="C93" s="6" t="s">
        <v>49</v>
      </c>
    </row>
    <row r="94" spans="1:3" ht="15" customHeight="1">
      <c r="A94" s="1" t="s">
        <v>61</v>
      </c>
      <c r="B94" s="19">
        <f>CORREL(Insurance!C:C, Insurance!G:G)</f>
        <v>0.19834096883362906</v>
      </c>
      <c r="C94" s="6" t="s">
        <v>49</v>
      </c>
    </row>
    <row r="95" spans="1:3" ht="15" customHeight="1">
      <c r="A95" s="1" t="s">
        <v>62</v>
      </c>
      <c r="B95" s="19">
        <f>CORREL(Insurance!D:D, Insurance!G:G)</f>
        <v>6.7998226847905102E-2</v>
      </c>
      <c r="C95" s="6" t="s">
        <v>49</v>
      </c>
    </row>
    <row r="97" spans="1:3" ht="15" customHeight="1">
      <c r="A97" s="1" t="s">
        <v>52</v>
      </c>
      <c r="B97" s="1" t="s">
        <v>63</v>
      </c>
    </row>
    <row r="98" spans="1:3" ht="15" customHeight="1">
      <c r="A98" s="1" t="s">
        <v>64</v>
      </c>
      <c r="B98" s="4">
        <f>B45-B46</f>
        <v>23615.963533676651</v>
      </c>
    </row>
    <row r="100" spans="1:3" ht="15" customHeight="1">
      <c r="A100" s="17" t="s">
        <v>65</v>
      </c>
    </row>
    <row r="102" spans="1:3" ht="15" customHeight="1">
      <c r="A102" s="1" t="s">
        <v>32</v>
      </c>
    </row>
    <row r="103" spans="1:3" ht="15" customHeight="1">
      <c r="A103" s="1" t="s">
        <v>66</v>
      </c>
      <c r="B103" s="1" t="s">
        <v>67</v>
      </c>
    </row>
    <row r="104" spans="1:3" ht="15" customHeight="1">
      <c r="A104" s="1" t="s">
        <v>68</v>
      </c>
      <c r="B104" s="1" t="s">
        <v>60</v>
      </c>
    </row>
    <row r="105" spans="1:3" ht="15" customHeight="1">
      <c r="A105" s="1" t="s">
        <v>69</v>
      </c>
      <c r="B105" s="1" t="s">
        <v>61</v>
      </c>
    </row>
    <row r="107" spans="1:3" ht="15" customHeight="1">
      <c r="A107" s="1" t="s">
        <v>111</v>
      </c>
    </row>
    <row r="108" spans="1:3" ht="15" customHeight="1">
      <c r="A108" s="1" t="s">
        <v>60</v>
      </c>
      <c r="B108" s="1" t="s">
        <v>61</v>
      </c>
    </row>
    <row r="109" spans="1:3" ht="15" customHeight="1">
      <c r="A109" s="8">
        <f>Insurance!A2</f>
        <v>19</v>
      </c>
      <c r="B109" s="7">
        <f>Insurance!C2</f>
        <v>27.9</v>
      </c>
    </row>
    <row r="110" spans="1:3" ht="15" customHeight="1">
      <c r="A110" s="8">
        <f>Insurance!A3</f>
        <v>18</v>
      </c>
      <c r="B110" s="7">
        <f>Insurance!C3</f>
        <v>33.770000000000003</v>
      </c>
    </row>
    <row r="111" spans="1:3" ht="15" customHeight="1">
      <c r="A111" s="8">
        <f>Insurance!A4</f>
        <v>28</v>
      </c>
      <c r="B111" s="7">
        <f>Insurance!C4</f>
        <v>33</v>
      </c>
      <c r="C111" s="1"/>
    </row>
    <row r="112" spans="1:3" ht="15" customHeight="1">
      <c r="A112" s="8">
        <f>Insurance!A5</f>
        <v>33</v>
      </c>
      <c r="B112" s="7">
        <f>Insurance!C5</f>
        <v>22.704999999999998</v>
      </c>
    </row>
    <row r="113" spans="1:2" ht="15" customHeight="1">
      <c r="A113" s="8">
        <f>Insurance!A6</f>
        <v>32</v>
      </c>
      <c r="B113" s="7">
        <f>Insurance!C6</f>
        <v>28.88</v>
      </c>
    </row>
    <row r="114" spans="1:2" ht="15" customHeight="1">
      <c r="A114" s="8">
        <f>Insurance!A7</f>
        <v>31</v>
      </c>
      <c r="B114" s="7">
        <f>Insurance!C7</f>
        <v>25.74</v>
      </c>
    </row>
    <row r="115" spans="1:2" ht="15" customHeight="1">
      <c r="A115" s="8">
        <f>Insurance!A8</f>
        <v>46</v>
      </c>
      <c r="B115" s="7">
        <f>Insurance!C8</f>
        <v>33.44</v>
      </c>
    </row>
    <row r="116" spans="1:2" ht="15" customHeight="1">
      <c r="A116" s="8">
        <f>Insurance!A9</f>
        <v>37</v>
      </c>
      <c r="B116" s="7">
        <f>Insurance!C9</f>
        <v>27.74</v>
      </c>
    </row>
    <row r="117" spans="1:2" ht="15" customHeight="1">
      <c r="A117" s="8">
        <f>Insurance!A10</f>
        <v>37</v>
      </c>
      <c r="B117" s="7">
        <f>Insurance!C10</f>
        <v>29.83</v>
      </c>
    </row>
    <row r="118" spans="1:2" ht="15" customHeight="1">
      <c r="A118" s="8">
        <f>Insurance!A11</f>
        <v>60</v>
      </c>
      <c r="B118" s="7">
        <f>Insurance!C11</f>
        <v>25.84</v>
      </c>
    </row>
    <row r="119" spans="1:2" ht="15" customHeight="1">
      <c r="A119" s="8">
        <f>Insurance!A12</f>
        <v>25</v>
      </c>
      <c r="B119" s="7">
        <f>Insurance!C12</f>
        <v>26.22</v>
      </c>
    </row>
    <row r="120" spans="1:2" ht="15" customHeight="1">
      <c r="A120" s="8">
        <f>Insurance!A13</f>
        <v>62</v>
      </c>
      <c r="B120" s="7">
        <f>Insurance!C13</f>
        <v>26.29</v>
      </c>
    </row>
    <row r="121" spans="1:2" ht="15" customHeight="1">
      <c r="A121" s="8">
        <f>Insurance!A14</f>
        <v>23</v>
      </c>
      <c r="B121" s="7">
        <f>Insurance!C14</f>
        <v>34.4</v>
      </c>
    </row>
    <row r="122" spans="1:2" ht="15" customHeight="1">
      <c r="A122" s="8">
        <f>Insurance!A15</f>
        <v>56</v>
      </c>
      <c r="B122" s="7">
        <f>Insurance!C15</f>
        <v>39.82</v>
      </c>
    </row>
    <row r="123" spans="1:2" ht="15" customHeight="1">
      <c r="A123" s="8">
        <f>Insurance!A16</f>
        <v>27</v>
      </c>
      <c r="B123" s="7">
        <f>Insurance!C16</f>
        <v>42.13</v>
      </c>
    </row>
    <row r="124" spans="1:2" ht="15" customHeight="1">
      <c r="A124" s="8">
        <f>Insurance!A17</f>
        <v>19</v>
      </c>
      <c r="B124" s="7">
        <f>Insurance!C17</f>
        <v>24.6</v>
      </c>
    </row>
    <row r="125" spans="1:2" ht="15" customHeight="1">
      <c r="A125" s="8">
        <f>Insurance!A18</f>
        <v>52</v>
      </c>
      <c r="B125" s="7">
        <f>Insurance!C18</f>
        <v>30.78</v>
      </c>
    </row>
    <row r="126" spans="1:2" ht="15" customHeight="1">
      <c r="A126" s="8">
        <f>Insurance!A19</f>
        <v>23</v>
      </c>
      <c r="B126" s="7">
        <f>Insurance!C19</f>
        <v>23.844999999999999</v>
      </c>
    </row>
    <row r="127" spans="1:2" ht="15" customHeight="1">
      <c r="A127" s="8">
        <f>Insurance!A20</f>
        <v>56</v>
      </c>
      <c r="B127" s="7">
        <f>Insurance!C20</f>
        <v>40.299999999999997</v>
      </c>
    </row>
    <row r="128" spans="1:2" ht="15" customHeight="1">
      <c r="A128" s="8">
        <f>Insurance!A21</f>
        <v>30</v>
      </c>
      <c r="B128" s="7">
        <f>Insurance!C21</f>
        <v>35.299999999999997</v>
      </c>
    </row>
    <row r="129" spans="1:2" ht="15" customHeight="1">
      <c r="A129" s="8">
        <f>Insurance!A22</f>
        <v>60</v>
      </c>
      <c r="B129" s="7">
        <f>Insurance!C22</f>
        <v>36.005000000000003</v>
      </c>
    </row>
    <row r="130" spans="1:2" ht="15" customHeight="1">
      <c r="A130" s="8">
        <f>Insurance!A23</f>
        <v>30</v>
      </c>
      <c r="B130" s="7">
        <f>Insurance!C23</f>
        <v>32.4</v>
      </c>
    </row>
    <row r="131" spans="1:2" ht="15" customHeight="1">
      <c r="A131" s="8">
        <f>Insurance!A24</f>
        <v>18</v>
      </c>
      <c r="B131" s="7">
        <f>Insurance!C24</f>
        <v>34.1</v>
      </c>
    </row>
    <row r="132" spans="1:2" ht="15" customHeight="1">
      <c r="A132" s="8">
        <f>Insurance!A25</f>
        <v>34</v>
      </c>
      <c r="B132" s="7">
        <f>Insurance!C25</f>
        <v>31.92</v>
      </c>
    </row>
    <row r="133" spans="1:2" ht="15" customHeight="1">
      <c r="A133" s="8">
        <f>Insurance!A26</f>
        <v>37</v>
      </c>
      <c r="B133" s="7">
        <f>Insurance!C26</f>
        <v>28.024999999999999</v>
      </c>
    </row>
    <row r="134" spans="1:2" ht="15" customHeight="1">
      <c r="A134" s="8">
        <f>Insurance!A27</f>
        <v>59</v>
      </c>
      <c r="B134" s="7">
        <f>Insurance!C27</f>
        <v>27.72</v>
      </c>
    </row>
    <row r="135" spans="1:2" ht="15" customHeight="1">
      <c r="A135" s="8">
        <f>Insurance!A28</f>
        <v>63</v>
      </c>
      <c r="B135" s="7">
        <f>Insurance!C28</f>
        <v>23.085000000000001</v>
      </c>
    </row>
    <row r="136" spans="1:2" ht="15" customHeight="1">
      <c r="A136" s="8">
        <f>Insurance!A29</f>
        <v>55</v>
      </c>
      <c r="B136" s="7">
        <f>Insurance!C29</f>
        <v>32.774999999999999</v>
      </c>
    </row>
    <row r="137" spans="1:2" ht="15" customHeight="1">
      <c r="A137" s="8">
        <f>Insurance!A30</f>
        <v>23</v>
      </c>
      <c r="B137" s="7">
        <f>Insurance!C30</f>
        <v>17.385000000000002</v>
      </c>
    </row>
    <row r="138" spans="1:2" ht="15" customHeight="1">
      <c r="A138" s="8">
        <f>Insurance!A31</f>
        <v>31</v>
      </c>
      <c r="B138" s="7">
        <f>Insurance!C31</f>
        <v>36.299999999999997</v>
      </c>
    </row>
    <row r="139" spans="1:2" ht="15" customHeight="1">
      <c r="A139" s="8">
        <f>Insurance!A32</f>
        <v>22</v>
      </c>
      <c r="B139" s="7">
        <f>Insurance!C32</f>
        <v>35.6</v>
      </c>
    </row>
    <row r="140" spans="1:2" ht="15" customHeight="1">
      <c r="A140" s="8">
        <f>Insurance!A33</f>
        <v>18</v>
      </c>
      <c r="B140" s="7">
        <f>Insurance!C33</f>
        <v>26.315000000000001</v>
      </c>
    </row>
    <row r="141" spans="1:2" ht="15" customHeight="1">
      <c r="A141" s="8">
        <f>Insurance!A34</f>
        <v>19</v>
      </c>
      <c r="B141" s="7">
        <f>Insurance!C34</f>
        <v>28.6</v>
      </c>
    </row>
    <row r="142" spans="1:2" ht="15" customHeight="1">
      <c r="A142" s="8">
        <f>Insurance!A35</f>
        <v>63</v>
      </c>
      <c r="B142" s="7">
        <f>Insurance!C35</f>
        <v>28.31</v>
      </c>
    </row>
    <row r="143" spans="1:2" ht="15" customHeight="1">
      <c r="A143" s="8">
        <f>Insurance!A36</f>
        <v>28</v>
      </c>
      <c r="B143" s="7">
        <f>Insurance!C36</f>
        <v>36.4</v>
      </c>
    </row>
    <row r="144" spans="1:2" ht="15" customHeight="1">
      <c r="A144" s="8">
        <f>Insurance!A37</f>
        <v>19</v>
      </c>
      <c r="B144" s="7">
        <f>Insurance!C37</f>
        <v>20.425000000000001</v>
      </c>
    </row>
    <row r="145" spans="1:2" ht="15" customHeight="1">
      <c r="A145" s="8">
        <f>Insurance!A38</f>
        <v>62</v>
      </c>
      <c r="B145" s="7">
        <f>Insurance!C38</f>
        <v>32.965000000000003</v>
      </c>
    </row>
    <row r="146" spans="1:2" ht="15" customHeight="1">
      <c r="A146" s="8">
        <f>Insurance!A39</f>
        <v>26</v>
      </c>
      <c r="B146" s="7">
        <f>Insurance!C39</f>
        <v>20.8</v>
      </c>
    </row>
    <row r="147" spans="1:2" ht="15" customHeight="1">
      <c r="A147" s="8">
        <f>Insurance!A40</f>
        <v>35</v>
      </c>
      <c r="B147" s="7">
        <f>Insurance!C40</f>
        <v>36.67</v>
      </c>
    </row>
    <row r="148" spans="1:2" ht="15" customHeight="1">
      <c r="A148" s="8">
        <f>Insurance!A41</f>
        <v>60</v>
      </c>
      <c r="B148" s="7">
        <f>Insurance!C41</f>
        <v>39.9</v>
      </c>
    </row>
    <row r="149" spans="1:2" ht="15" customHeight="1">
      <c r="A149" s="8">
        <f>Insurance!A42</f>
        <v>24</v>
      </c>
      <c r="B149" s="7">
        <f>Insurance!C42</f>
        <v>26.6</v>
      </c>
    </row>
    <row r="150" spans="1:2" ht="15" customHeight="1">
      <c r="A150" s="8">
        <f>Insurance!A43</f>
        <v>31</v>
      </c>
      <c r="B150" s="7">
        <f>Insurance!C43</f>
        <v>36.630000000000003</v>
      </c>
    </row>
    <row r="151" spans="1:2" ht="15" customHeight="1">
      <c r="A151" s="8">
        <f>Insurance!A44</f>
        <v>41</v>
      </c>
      <c r="B151" s="7">
        <f>Insurance!C44</f>
        <v>21.78</v>
      </c>
    </row>
    <row r="152" spans="1:2" ht="15" customHeight="1">
      <c r="A152" s="8">
        <f>Insurance!A45</f>
        <v>37</v>
      </c>
      <c r="B152" s="7">
        <f>Insurance!C45</f>
        <v>30.8</v>
      </c>
    </row>
    <row r="153" spans="1:2" ht="15" customHeight="1">
      <c r="A153" s="8">
        <f>Insurance!A46</f>
        <v>38</v>
      </c>
      <c r="B153" s="7">
        <f>Insurance!C46</f>
        <v>37.049999999999997</v>
      </c>
    </row>
    <row r="154" spans="1:2" ht="15" customHeight="1">
      <c r="A154" s="8">
        <f>Insurance!A47</f>
        <v>55</v>
      </c>
      <c r="B154" s="7">
        <f>Insurance!C47</f>
        <v>37.299999999999997</v>
      </c>
    </row>
    <row r="155" spans="1:2" ht="15" customHeight="1">
      <c r="A155" s="8">
        <f>Insurance!A48</f>
        <v>18</v>
      </c>
      <c r="B155" s="7">
        <f>Insurance!C48</f>
        <v>38.664999999999999</v>
      </c>
    </row>
    <row r="156" spans="1:2" ht="15" customHeight="1">
      <c r="A156" s="8">
        <f>Insurance!A49</f>
        <v>28</v>
      </c>
      <c r="B156" s="7">
        <f>Insurance!C49</f>
        <v>34.770000000000003</v>
      </c>
    </row>
    <row r="157" spans="1:2" ht="15" customHeight="1">
      <c r="A157" s="8">
        <f>Insurance!A50</f>
        <v>60</v>
      </c>
      <c r="B157" s="7">
        <f>Insurance!C50</f>
        <v>24.53</v>
      </c>
    </row>
    <row r="158" spans="1:2" ht="15" customHeight="1">
      <c r="A158" s="8">
        <f>Insurance!A51</f>
        <v>36</v>
      </c>
      <c r="B158" s="7">
        <f>Insurance!C51</f>
        <v>35.200000000000003</v>
      </c>
    </row>
    <row r="159" spans="1:2" ht="15" customHeight="1">
      <c r="A159" s="8">
        <f>Insurance!A52</f>
        <v>18</v>
      </c>
      <c r="B159" s="7">
        <f>Insurance!C52</f>
        <v>35.625</v>
      </c>
    </row>
    <row r="160" spans="1:2" ht="15" customHeight="1">
      <c r="A160" s="8">
        <f>Insurance!A53</f>
        <v>21</v>
      </c>
      <c r="B160" s="7">
        <f>Insurance!C53</f>
        <v>33.630000000000003</v>
      </c>
    </row>
    <row r="161" spans="1:2" ht="15" customHeight="1">
      <c r="A161" s="8">
        <f>Insurance!A54</f>
        <v>48</v>
      </c>
      <c r="B161" s="7">
        <f>Insurance!C54</f>
        <v>28</v>
      </c>
    </row>
    <row r="162" spans="1:2" ht="15" customHeight="1">
      <c r="A162" s="8">
        <f>Insurance!A55</f>
        <v>36</v>
      </c>
      <c r="B162" s="7">
        <f>Insurance!C55</f>
        <v>34.43</v>
      </c>
    </row>
    <row r="163" spans="1:2" ht="15" customHeight="1">
      <c r="A163" s="8">
        <f>Insurance!A56</f>
        <v>40</v>
      </c>
      <c r="B163" s="7">
        <f>Insurance!C56</f>
        <v>28.69</v>
      </c>
    </row>
    <row r="164" spans="1:2" ht="15" customHeight="1">
      <c r="A164" s="8">
        <f>Insurance!A57</f>
        <v>58</v>
      </c>
      <c r="B164" s="7">
        <f>Insurance!C57</f>
        <v>36.954999999999998</v>
      </c>
    </row>
    <row r="165" spans="1:2" ht="15" customHeight="1">
      <c r="A165" s="8">
        <f>Insurance!A58</f>
        <v>58</v>
      </c>
      <c r="B165" s="7">
        <f>Insurance!C58</f>
        <v>31.824999999999999</v>
      </c>
    </row>
    <row r="166" spans="1:2" ht="15" customHeight="1">
      <c r="A166" s="8">
        <f>Insurance!A59</f>
        <v>18</v>
      </c>
      <c r="B166" s="7">
        <f>Insurance!C59</f>
        <v>31.68</v>
      </c>
    </row>
    <row r="167" spans="1:2" ht="15" customHeight="1">
      <c r="A167" s="8">
        <f>Insurance!A60</f>
        <v>53</v>
      </c>
      <c r="B167" s="7">
        <f>Insurance!C60</f>
        <v>22.88</v>
      </c>
    </row>
    <row r="168" spans="1:2" ht="15" customHeight="1">
      <c r="A168" s="8">
        <f>Insurance!A61</f>
        <v>34</v>
      </c>
      <c r="B168" s="7">
        <f>Insurance!C61</f>
        <v>37.335000000000001</v>
      </c>
    </row>
    <row r="169" spans="1:2" ht="15" customHeight="1">
      <c r="A169" s="8">
        <f>Insurance!A62</f>
        <v>43</v>
      </c>
      <c r="B169" s="7">
        <f>Insurance!C62</f>
        <v>27.36</v>
      </c>
    </row>
    <row r="170" spans="1:2" ht="15" customHeight="1">
      <c r="A170" s="8">
        <f>Insurance!A63</f>
        <v>25</v>
      </c>
      <c r="B170" s="7">
        <f>Insurance!C63</f>
        <v>33.659999999999997</v>
      </c>
    </row>
    <row r="171" spans="1:2" ht="15" customHeight="1">
      <c r="A171" s="8">
        <f>Insurance!A64</f>
        <v>64</v>
      </c>
      <c r="B171" s="7">
        <f>Insurance!C64</f>
        <v>24.7</v>
      </c>
    </row>
    <row r="172" spans="1:2" ht="15" customHeight="1">
      <c r="A172" s="8">
        <f>Insurance!A65</f>
        <v>28</v>
      </c>
      <c r="B172" s="7">
        <f>Insurance!C65</f>
        <v>25.934999999999999</v>
      </c>
    </row>
    <row r="173" spans="1:2" ht="15" customHeight="1">
      <c r="A173" s="8">
        <f>Insurance!A66</f>
        <v>20</v>
      </c>
      <c r="B173" s="7">
        <f>Insurance!C66</f>
        <v>22.42</v>
      </c>
    </row>
    <row r="174" spans="1:2" ht="15" customHeight="1">
      <c r="A174" s="8">
        <f>Insurance!A67</f>
        <v>19</v>
      </c>
      <c r="B174" s="7">
        <f>Insurance!C67</f>
        <v>28.9</v>
      </c>
    </row>
    <row r="175" spans="1:2" ht="15" customHeight="1">
      <c r="A175" s="8">
        <f>Insurance!A68</f>
        <v>61</v>
      </c>
      <c r="B175" s="7">
        <f>Insurance!C68</f>
        <v>39.1</v>
      </c>
    </row>
    <row r="176" spans="1:2" ht="15" customHeight="1">
      <c r="A176" s="8">
        <f>Insurance!A69</f>
        <v>40</v>
      </c>
      <c r="B176" s="7">
        <f>Insurance!C69</f>
        <v>26.315000000000001</v>
      </c>
    </row>
    <row r="177" spans="1:2" ht="15" customHeight="1">
      <c r="A177" s="8">
        <f>Insurance!A70</f>
        <v>40</v>
      </c>
      <c r="B177" s="7">
        <f>Insurance!C70</f>
        <v>36.19</v>
      </c>
    </row>
    <row r="178" spans="1:2" ht="15" customHeight="1">
      <c r="A178" s="8">
        <f>Insurance!A71</f>
        <v>28</v>
      </c>
      <c r="B178" s="7">
        <f>Insurance!C71</f>
        <v>23.98</v>
      </c>
    </row>
    <row r="179" spans="1:2" ht="15" customHeight="1">
      <c r="A179" s="8">
        <f>Insurance!A72</f>
        <v>27</v>
      </c>
      <c r="B179" s="7">
        <f>Insurance!C72</f>
        <v>24.75</v>
      </c>
    </row>
    <row r="180" spans="1:2" ht="15" customHeight="1">
      <c r="A180" s="8">
        <f>Insurance!A73</f>
        <v>31</v>
      </c>
      <c r="B180" s="7">
        <f>Insurance!C73</f>
        <v>28.5</v>
      </c>
    </row>
    <row r="181" spans="1:2" ht="15" customHeight="1">
      <c r="A181" s="8">
        <f>Insurance!A74</f>
        <v>53</v>
      </c>
      <c r="B181" s="7">
        <f>Insurance!C74</f>
        <v>28.1</v>
      </c>
    </row>
    <row r="182" spans="1:2" ht="15" customHeight="1">
      <c r="A182" s="8">
        <f>Insurance!A75</f>
        <v>58</v>
      </c>
      <c r="B182" s="7">
        <f>Insurance!C75</f>
        <v>32.01</v>
      </c>
    </row>
    <row r="183" spans="1:2" ht="15" customHeight="1">
      <c r="A183" s="8">
        <f>Insurance!A76</f>
        <v>44</v>
      </c>
      <c r="B183" s="7">
        <f>Insurance!C76</f>
        <v>27.4</v>
      </c>
    </row>
    <row r="184" spans="1:2" ht="15" customHeight="1">
      <c r="A184" s="8">
        <f>Insurance!A77</f>
        <v>57</v>
      </c>
      <c r="B184" s="7">
        <f>Insurance!C77</f>
        <v>34.01</v>
      </c>
    </row>
    <row r="185" spans="1:2" ht="15" customHeight="1">
      <c r="A185" s="8">
        <f>Insurance!A78</f>
        <v>29</v>
      </c>
      <c r="B185" s="7">
        <f>Insurance!C78</f>
        <v>29.59</v>
      </c>
    </row>
    <row r="186" spans="1:2" ht="15" customHeight="1">
      <c r="A186" s="8">
        <f>Insurance!A79</f>
        <v>21</v>
      </c>
      <c r="B186" s="7">
        <f>Insurance!C79</f>
        <v>35.53</v>
      </c>
    </row>
    <row r="187" spans="1:2" ht="15" customHeight="1">
      <c r="A187" s="8">
        <f>Insurance!A80</f>
        <v>22</v>
      </c>
      <c r="B187" s="7">
        <f>Insurance!C80</f>
        <v>39.805</v>
      </c>
    </row>
    <row r="188" spans="1:2" ht="15" customHeight="1">
      <c r="A188" s="8">
        <f>Insurance!A81</f>
        <v>41</v>
      </c>
      <c r="B188" s="7">
        <f>Insurance!C81</f>
        <v>32.965000000000003</v>
      </c>
    </row>
    <row r="189" spans="1:2" ht="15" customHeight="1">
      <c r="A189" s="8">
        <f>Insurance!A82</f>
        <v>31</v>
      </c>
      <c r="B189" s="7">
        <f>Insurance!C82</f>
        <v>26.885000000000002</v>
      </c>
    </row>
    <row r="190" spans="1:2" ht="15" customHeight="1">
      <c r="A190" s="8">
        <f>Insurance!A83</f>
        <v>45</v>
      </c>
      <c r="B190" s="7">
        <f>Insurance!C83</f>
        <v>38.284999999999997</v>
      </c>
    </row>
    <row r="191" spans="1:2" ht="15" customHeight="1">
      <c r="A191" s="8">
        <f>Insurance!A84</f>
        <v>22</v>
      </c>
      <c r="B191" s="7">
        <f>Insurance!C84</f>
        <v>37.619999999999997</v>
      </c>
    </row>
    <row r="192" spans="1:2" ht="15" customHeight="1">
      <c r="A192" s="8">
        <f>Insurance!A85</f>
        <v>48</v>
      </c>
      <c r="B192" s="7">
        <f>Insurance!C85</f>
        <v>41.23</v>
      </c>
    </row>
    <row r="193" spans="1:2" ht="15" customHeight="1">
      <c r="A193" s="8">
        <f>Insurance!A86</f>
        <v>37</v>
      </c>
      <c r="B193" s="7">
        <f>Insurance!C86</f>
        <v>34.799999999999997</v>
      </c>
    </row>
    <row r="194" spans="1:2" ht="15" customHeight="1">
      <c r="A194" s="8">
        <f>Insurance!A87</f>
        <v>45</v>
      </c>
      <c r="B194" s="7">
        <f>Insurance!C87</f>
        <v>22.895</v>
      </c>
    </row>
    <row r="195" spans="1:2" ht="15" customHeight="1">
      <c r="A195" s="8">
        <f>Insurance!A88</f>
        <v>57</v>
      </c>
      <c r="B195" s="7">
        <f>Insurance!C88</f>
        <v>31.16</v>
      </c>
    </row>
    <row r="196" spans="1:2" ht="15" customHeight="1">
      <c r="A196" s="8">
        <f>Insurance!A89</f>
        <v>56</v>
      </c>
      <c r="B196" s="7">
        <f>Insurance!C89</f>
        <v>27.2</v>
      </c>
    </row>
    <row r="197" spans="1:2" ht="15" customHeight="1">
      <c r="A197" s="8">
        <f>Insurance!A90</f>
        <v>46</v>
      </c>
      <c r="B197" s="7">
        <f>Insurance!C90</f>
        <v>27.74</v>
      </c>
    </row>
    <row r="198" spans="1:2" ht="15" customHeight="1">
      <c r="A198" s="8">
        <f>Insurance!A91</f>
        <v>55</v>
      </c>
      <c r="B198" s="7">
        <f>Insurance!C91</f>
        <v>26.98</v>
      </c>
    </row>
    <row r="199" spans="1:2" ht="15" customHeight="1">
      <c r="A199" s="8">
        <f>Insurance!A92</f>
        <v>21</v>
      </c>
      <c r="B199" s="7">
        <f>Insurance!C92</f>
        <v>39.49</v>
      </c>
    </row>
    <row r="200" spans="1:2" ht="15" customHeight="1">
      <c r="A200" s="8">
        <f>Insurance!A93</f>
        <v>53</v>
      </c>
      <c r="B200" s="7">
        <f>Insurance!C93</f>
        <v>24.795000000000002</v>
      </c>
    </row>
    <row r="201" spans="1:2" ht="15" customHeight="1">
      <c r="A201" s="8">
        <f>Insurance!A94</f>
        <v>59</v>
      </c>
      <c r="B201" s="7">
        <f>Insurance!C94</f>
        <v>29.83</v>
      </c>
    </row>
    <row r="202" spans="1:2" ht="15" customHeight="1">
      <c r="A202" s="8">
        <f>Insurance!A95</f>
        <v>35</v>
      </c>
      <c r="B202" s="7">
        <f>Insurance!C95</f>
        <v>34.770000000000003</v>
      </c>
    </row>
    <row r="203" spans="1:2" ht="15" customHeight="1">
      <c r="A203" s="8">
        <f>Insurance!A96</f>
        <v>64</v>
      </c>
      <c r="B203" s="7">
        <f>Insurance!C96</f>
        <v>31.3</v>
      </c>
    </row>
    <row r="204" spans="1:2" ht="15" customHeight="1">
      <c r="A204" s="8">
        <f>Insurance!A97</f>
        <v>28</v>
      </c>
      <c r="B204" s="7">
        <f>Insurance!C97</f>
        <v>37.619999999999997</v>
      </c>
    </row>
    <row r="205" spans="1:2" ht="15" customHeight="1">
      <c r="A205" s="8">
        <f>Insurance!A98</f>
        <v>54</v>
      </c>
      <c r="B205" s="7">
        <f>Insurance!C98</f>
        <v>30.8</v>
      </c>
    </row>
    <row r="206" spans="1:2" ht="15" customHeight="1">
      <c r="A206" s="8">
        <f>Insurance!A99</f>
        <v>55</v>
      </c>
      <c r="B206" s="7">
        <f>Insurance!C99</f>
        <v>38.28</v>
      </c>
    </row>
    <row r="207" spans="1:2" ht="15" customHeight="1">
      <c r="A207" s="8">
        <f>Insurance!A100</f>
        <v>56</v>
      </c>
      <c r="B207" s="7">
        <f>Insurance!C100</f>
        <v>19.95</v>
      </c>
    </row>
    <row r="208" spans="1:2" ht="15" customHeight="1">
      <c r="A208" s="8">
        <f>Insurance!A101</f>
        <v>38</v>
      </c>
      <c r="B208" s="7">
        <f>Insurance!C101</f>
        <v>19.3</v>
      </c>
    </row>
    <row r="209" spans="1:2" ht="15" customHeight="1">
      <c r="A209" s="8">
        <f>Insurance!A102</f>
        <v>41</v>
      </c>
      <c r="B209" s="7">
        <f>Insurance!C102</f>
        <v>31.6</v>
      </c>
    </row>
    <row r="210" spans="1:2" ht="15" customHeight="1">
      <c r="A210" s="8">
        <f>Insurance!A103</f>
        <v>30</v>
      </c>
      <c r="B210" s="7">
        <f>Insurance!C103</f>
        <v>25.46</v>
      </c>
    </row>
    <row r="211" spans="1:2" ht="15" customHeight="1">
      <c r="A211" s="8">
        <f>Insurance!A104</f>
        <v>18</v>
      </c>
      <c r="B211" s="7">
        <f>Insurance!C104</f>
        <v>30.114999999999998</v>
      </c>
    </row>
    <row r="212" spans="1:2" ht="15" customHeight="1">
      <c r="A212" s="8">
        <f>Insurance!A105</f>
        <v>61</v>
      </c>
      <c r="B212" s="7">
        <f>Insurance!C105</f>
        <v>29.92</v>
      </c>
    </row>
    <row r="213" spans="1:2" ht="15" customHeight="1">
      <c r="A213" s="8">
        <f>Insurance!A106</f>
        <v>34</v>
      </c>
      <c r="B213" s="7">
        <f>Insurance!C106</f>
        <v>27.5</v>
      </c>
    </row>
    <row r="214" spans="1:2" ht="15" customHeight="1">
      <c r="A214" s="8">
        <f>Insurance!A107</f>
        <v>20</v>
      </c>
      <c r="B214" s="7">
        <f>Insurance!C107</f>
        <v>28.024999999999999</v>
      </c>
    </row>
    <row r="215" spans="1:2" ht="15" customHeight="1">
      <c r="A215" s="8">
        <f>Insurance!A108</f>
        <v>19</v>
      </c>
      <c r="B215" s="7">
        <f>Insurance!C108</f>
        <v>28.4</v>
      </c>
    </row>
    <row r="216" spans="1:2" ht="15" customHeight="1">
      <c r="A216" s="8">
        <f>Insurance!A109</f>
        <v>26</v>
      </c>
      <c r="B216" s="7">
        <f>Insurance!C109</f>
        <v>30.875</v>
      </c>
    </row>
    <row r="217" spans="1:2" ht="15" customHeight="1">
      <c r="A217" s="8">
        <f>Insurance!A110</f>
        <v>29</v>
      </c>
      <c r="B217" s="7">
        <f>Insurance!C110</f>
        <v>27.94</v>
      </c>
    </row>
    <row r="218" spans="1:2" ht="15" customHeight="1">
      <c r="A218" s="8">
        <f>Insurance!A111</f>
        <v>63</v>
      </c>
      <c r="B218" s="7">
        <f>Insurance!C111</f>
        <v>35.090000000000003</v>
      </c>
    </row>
    <row r="219" spans="1:2" ht="15" customHeight="1">
      <c r="A219" s="8">
        <f>Insurance!A112</f>
        <v>54</v>
      </c>
      <c r="B219" s="7">
        <f>Insurance!C112</f>
        <v>33.630000000000003</v>
      </c>
    </row>
    <row r="220" spans="1:2" ht="15" customHeight="1">
      <c r="A220" s="8">
        <f>Insurance!A113</f>
        <v>55</v>
      </c>
      <c r="B220" s="7">
        <f>Insurance!C113</f>
        <v>29.7</v>
      </c>
    </row>
    <row r="221" spans="1:2" ht="15" customHeight="1">
      <c r="A221" s="8">
        <f>Insurance!A114</f>
        <v>37</v>
      </c>
      <c r="B221" s="7">
        <f>Insurance!C114</f>
        <v>30.8</v>
      </c>
    </row>
    <row r="222" spans="1:2" ht="15" customHeight="1">
      <c r="A222" s="8">
        <f>Insurance!A115</f>
        <v>21</v>
      </c>
      <c r="B222" s="7">
        <f>Insurance!C115</f>
        <v>35.72</v>
      </c>
    </row>
    <row r="223" spans="1:2" ht="15" customHeight="1">
      <c r="A223" s="8">
        <f>Insurance!A116</f>
        <v>52</v>
      </c>
      <c r="B223" s="7">
        <f>Insurance!C116</f>
        <v>32.204999999999998</v>
      </c>
    </row>
    <row r="224" spans="1:2" ht="15" customHeight="1">
      <c r="A224" s="8">
        <f>Insurance!A117</f>
        <v>60</v>
      </c>
      <c r="B224" s="7">
        <f>Insurance!C117</f>
        <v>28.594999999999999</v>
      </c>
    </row>
    <row r="225" spans="1:2" ht="15" customHeight="1">
      <c r="A225" s="8">
        <f>Insurance!A118</f>
        <v>58</v>
      </c>
      <c r="B225" s="7">
        <f>Insurance!C118</f>
        <v>49.06</v>
      </c>
    </row>
    <row r="226" spans="1:2" ht="15" customHeight="1">
      <c r="A226" s="8">
        <f>Insurance!A119</f>
        <v>29</v>
      </c>
      <c r="B226" s="7">
        <f>Insurance!C119</f>
        <v>27.94</v>
      </c>
    </row>
    <row r="227" spans="1:2" ht="15" customHeight="1">
      <c r="A227" s="8">
        <f>Insurance!A120</f>
        <v>49</v>
      </c>
      <c r="B227" s="7">
        <f>Insurance!C120</f>
        <v>27.17</v>
      </c>
    </row>
    <row r="228" spans="1:2" ht="15" customHeight="1">
      <c r="A228" s="8">
        <f>Insurance!A121</f>
        <v>37</v>
      </c>
      <c r="B228" s="7">
        <f>Insurance!C121</f>
        <v>23.37</v>
      </c>
    </row>
    <row r="229" spans="1:2" ht="15" customHeight="1">
      <c r="A229" s="8">
        <f>Insurance!A122</f>
        <v>44</v>
      </c>
      <c r="B229" s="7">
        <f>Insurance!C122</f>
        <v>37.1</v>
      </c>
    </row>
    <row r="230" spans="1:2" ht="15" customHeight="1">
      <c r="A230" s="8">
        <f>Insurance!A123</f>
        <v>18</v>
      </c>
      <c r="B230" s="7">
        <f>Insurance!C123</f>
        <v>23.75</v>
      </c>
    </row>
    <row r="231" spans="1:2" ht="15" customHeight="1">
      <c r="A231" s="8">
        <f>Insurance!A124</f>
        <v>20</v>
      </c>
      <c r="B231" s="7">
        <f>Insurance!C124</f>
        <v>28.975000000000001</v>
      </c>
    </row>
    <row r="232" spans="1:2" ht="15" customHeight="1">
      <c r="A232" s="8">
        <f>Insurance!A125</f>
        <v>44</v>
      </c>
      <c r="B232" s="7">
        <f>Insurance!C125</f>
        <v>31.35</v>
      </c>
    </row>
    <row r="233" spans="1:2" ht="15" customHeight="1">
      <c r="A233" s="8">
        <f>Insurance!A126</f>
        <v>47</v>
      </c>
      <c r="B233" s="7">
        <f>Insurance!C126</f>
        <v>33.914999999999999</v>
      </c>
    </row>
    <row r="234" spans="1:2" ht="15" customHeight="1">
      <c r="A234" s="8">
        <f>Insurance!A127</f>
        <v>26</v>
      </c>
      <c r="B234" s="7">
        <f>Insurance!C127</f>
        <v>28.785</v>
      </c>
    </row>
    <row r="235" spans="1:2" ht="15" customHeight="1">
      <c r="A235" s="8">
        <f>Insurance!A128</f>
        <v>19</v>
      </c>
      <c r="B235" s="7">
        <f>Insurance!C128</f>
        <v>28.3</v>
      </c>
    </row>
    <row r="236" spans="1:2" ht="15" customHeight="1">
      <c r="A236" s="8">
        <f>Insurance!A129</f>
        <v>52</v>
      </c>
      <c r="B236" s="7">
        <f>Insurance!C129</f>
        <v>37.4</v>
      </c>
    </row>
    <row r="237" spans="1:2" ht="15" customHeight="1">
      <c r="A237" s="8">
        <f>Insurance!A130</f>
        <v>32</v>
      </c>
      <c r="B237" s="7">
        <f>Insurance!C130</f>
        <v>17.765000000000001</v>
      </c>
    </row>
    <row r="238" spans="1:2" ht="15" customHeight="1">
      <c r="A238" s="8">
        <f>Insurance!A131</f>
        <v>38</v>
      </c>
      <c r="B238" s="7">
        <f>Insurance!C131</f>
        <v>34.700000000000003</v>
      </c>
    </row>
    <row r="239" spans="1:2" ht="15" customHeight="1">
      <c r="A239" s="8">
        <f>Insurance!A132</f>
        <v>59</v>
      </c>
      <c r="B239" s="7">
        <f>Insurance!C132</f>
        <v>26.504999999999999</v>
      </c>
    </row>
    <row r="240" spans="1:2" ht="15" customHeight="1">
      <c r="A240" s="8">
        <f>Insurance!A133</f>
        <v>61</v>
      </c>
      <c r="B240" s="7">
        <f>Insurance!C133</f>
        <v>22.04</v>
      </c>
    </row>
    <row r="241" spans="1:2" ht="15" customHeight="1">
      <c r="A241" s="8">
        <f>Insurance!A134</f>
        <v>53</v>
      </c>
      <c r="B241" s="7">
        <f>Insurance!C134</f>
        <v>35.9</v>
      </c>
    </row>
    <row r="242" spans="1:2" ht="15" customHeight="1">
      <c r="A242" s="8">
        <f>Insurance!A135</f>
        <v>19</v>
      </c>
      <c r="B242" s="7">
        <f>Insurance!C135</f>
        <v>25.555</v>
      </c>
    </row>
    <row r="243" spans="1:2" ht="15" customHeight="1">
      <c r="A243" s="8">
        <f>Insurance!A136</f>
        <v>20</v>
      </c>
      <c r="B243" s="7">
        <f>Insurance!C136</f>
        <v>28.785</v>
      </c>
    </row>
    <row r="244" spans="1:2" ht="15" customHeight="1">
      <c r="A244" s="8">
        <f>Insurance!A137</f>
        <v>22</v>
      </c>
      <c r="B244" s="7">
        <f>Insurance!C137</f>
        <v>28.05</v>
      </c>
    </row>
    <row r="245" spans="1:2" ht="15" customHeight="1">
      <c r="A245" s="8">
        <f>Insurance!A138</f>
        <v>19</v>
      </c>
      <c r="B245" s="7">
        <f>Insurance!C138</f>
        <v>34.1</v>
      </c>
    </row>
    <row r="246" spans="1:2" ht="15" customHeight="1">
      <c r="A246" s="8">
        <f>Insurance!A139</f>
        <v>22</v>
      </c>
      <c r="B246" s="7">
        <f>Insurance!C139</f>
        <v>25.175000000000001</v>
      </c>
    </row>
    <row r="247" spans="1:2" ht="15" customHeight="1">
      <c r="A247" s="8">
        <f>Insurance!A140</f>
        <v>54</v>
      </c>
      <c r="B247" s="7">
        <f>Insurance!C140</f>
        <v>31.9</v>
      </c>
    </row>
    <row r="248" spans="1:2" ht="15" customHeight="1">
      <c r="A248" s="8">
        <f>Insurance!A141</f>
        <v>22</v>
      </c>
      <c r="B248" s="7">
        <f>Insurance!C141</f>
        <v>36</v>
      </c>
    </row>
    <row r="249" spans="1:2" ht="15" customHeight="1">
      <c r="A249" s="8">
        <f>Insurance!A142</f>
        <v>34</v>
      </c>
      <c r="B249" s="7">
        <f>Insurance!C142</f>
        <v>22.42</v>
      </c>
    </row>
    <row r="250" spans="1:2" ht="15" customHeight="1">
      <c r="A250" s="8">
        <f>Insurance!A143</f>
        <v>26</v>
      </c>
      <c r="B250" s="7">
        <f>Insurance!C143</f>
        <v>32.49</v>
      </c>
    </row>
    <row r="251" spans="1:2" ht="15" customHeight="1">
      <c r="A251" s="8">
        <f>Insurance!A144</f>
        <v>34</v>
      </c>
      <c r="B251" s="7">
        <f>Insurance!C144</f>
        <v>25.3</v>
      </c>
    </row>
    <row r="252" spans="1:2" ht="15" customHeight="1">
      <c r="A252" s="8">
        <f>Insurance!A145</f>
        <v>29</v>
      </c>
      <c r="B252" s="7">
        <f>Insurance!C145</f>
        <v>29.734999999999999</v>
      </c>
    </row>
    <row r="253" spans="1:2" ht="15" customHeight="1">
      <c r="A253" s="8">
        <f>Insurance!A146</f>
        <v>30</v>
      </c>
      <c r="B253" s="7">
        <f>Insurance!C146</f>
        <v>28.69</v>
      </c>
    </row>
    <row r="254" spans="1:2" ht="15" customHeight="1">
      <c r="A254" s="8">
        <f>Insurance!A147</f>
        <v>29</v>
      </c>
      <c r="B254" s="7">
        <f>Insurance!C147</f>
        <v>38.83</v>
      </c>
    </row>
    <row r="255" spans="1:2" ht="15" customHeight="1">
      <c r="A255" s="8">
        <f>Insurance!A148</f>
        <v>46</v>
      </c>
      <c r="B255" s="7">
        <f>Insurance!C148</f>
        <v>30.495000000000001</v>
      </c>
    </row>
    <row r="256" spans="1:2" ht="15" customHeight="1">
      <c r="A256" s="8">
        <f>Insurance!A149</f>
        <v>51</v>
      </c>
      <c r="B256" s="7">
        <f>Insurance!C149</f>
        <v>37.729999999999997</v>
      </c>
    </row>
    <row r="257" spans="1:2" ht="15" customHeight="1">
      <c r="A257" s="8">
        <f>Insurance!A150</f>
        <v>53</v>
      </c>
      <c r="B257" s="7">
        <f>Insurance!C150</f>
        <v>37.43</v>
      </c>
    </row>
    <row r="258" spans="1:2" ht="15" customHeight="1">
      <c r="A258" s="8">
        <f>Insurance!A151</f>
        <v>19</v>
      </c>
      <c r="B258" s="7">
        <f>Insurance!C151</f>
        <v>28.4</v>
      </c>
    </row>
    <row r="259" spans="1:2" ht="15" customHeight="1">
      <c r="A259" s="8">
        <f>Insurance!A152</f>
        <v>35</v>
      </c>
      <c r="B259" s="7">
        <f>Insurance!C152</f>
        <v>24.13</v>
      </c>
    </row>
    <row r="260" spans="1:2" ht="15" customHeight="1">
      <c r="A260" s="8">
        <f>Insurance!A153</f>
        <v>48</v>
      </c>
      <c r="B260" s="7">
        <f>Insurance!C153</f>
        <v>29.7</v>
      </c>
    </row>
    <row r="261" spans="1:2" ht="15" customHeight="1">
      <c r="A261" s="8">
        <f>Insurance!A154</f>
        <v>32</v>
      </c>
      <c r="B261" s="7">
        <f>Insurance!C154</f>
        <v>37.145000000000003</v>
      </c>
    </row>
    <row r="262" spans="1:2" ht="15" customHeight="1">
      <c r="A262" s="8">
        <f>Insurance!A155</f>
        <v>42</v>
      </c>
      <c r="B262" s="7">
        <f>Insurance!C155</f>
        <v>23.37</v>
      </c>
    </row>
    <row r="263" spans="1:2" ht="15" customHeight="1">
      <c r="A263" s="8">
        <f>Insurance!A156</f>
        <v>40</v>
      </c>
      <c r="B263" s="7">
        <f>Insurance!C156</f>
        <v>25.46</v>
      </c>
    </row>
    <row r="264" spans="1:2" ht="15" customHeight="1">
      <c r="A264" s="8">
        <f>Insurance!A157</f>
        <v>44</v>
      </c>
      <c r="B264" s="7">
        <f>Insurance!C157</f>
        <v>39.520000000000003</v>
      </c>
    </row>
    <row r="265" spans="1:2" ht="15" customHeight="1">
      <c r="A265" s="8">
        <f>Insurance!A158</f>
        <v>48</v>
      </c>
      <c r="B265" s="7">
        <f>Insurance!C158</f>
        <v>24.42</v>
      </c>
    </row>
    <row r="266" spans="1:2" ht="15" customHeight="1">
      <c r="A266" s="8">
        <f>Insurance!A159</f>
        <v>18</v>
      </c>
      <c r="B266" s="7">
        <f>Insurance!C159</f>
        <v>25.175000000000001</v>
      </c>
    </row>
    <row r="267" spans="1:2" ht="15" customHeight="1">
      <c r="A267" s="8">
        <f>Insurance!A160</f>
        <v>30</v>
      </c>
      <c r="B267" s="7">
        <f>Insurance!C160</f>
        <v>35.53</v>
      </c>
    </row>
    <row r="268" spans="1:2" ht="15" customHeight="1">
      <c r="A268" s="8">
        <f>Insurance!A161</f>
        <v>50</v>
      </c>
      <c r="B268" s="7">
        <f>Insurance!C161</f>
        <v>27.83</v>
      </c>
    </row>
    <row r="269" spans="1:2" ht="15" customHeight="1">
      <c r="A269" s="8">
        <f>Insurance!A162</f>
        <v>42</v>
      </c>
      <c r="B269" s="7">
        <f>Insurance!C162</f>
        <v>26.6</v>
      </c>
    </row>
    <row r="270" spans="1:2" ht="15" customHeight="1">
      <c r="A270" s="8">
        <f>Insurance!A163</f>
        <v>18</v>
      </c>
      <c r="B270" s="7">
        <f>Insurance!C163</f>
        <v>36.85</v>
      </c>
    </row>
    <row r="271" spans="1:2" ht="15" customHeight="1">
      <c r="A271" s="8">
        <f>Insurance!A164</f>
        <v>54</v>
      </c>
      <c r="B271" s="7">
        <f>Insurance!C164</f>
        <v>39.6</v>
      </c>
    </row>
    <row r="272" spans="1:2" ht="15" customHeight="1">
      <c r="A272" s="8">
        <f>Insurance!A165</f>
        <v>32</v>
      </c>
      <c r="B272" s="7">
        <f>Insurance!C165</f>
        <v>29.8</v>
      </c>
    </row>
    <row r="273" spans="1:2" ht="15" customHeight="1">
      <c r="A273" s="8">
        <f>Insurance!A166</f>
        <v>37</v>
      </c>
      <c r="B273" s="7">
        <f>Insurance!C166</f>
        <v>29.64</v>
      </c>
    </row>
    <row r="274" spans="1:2" ht="15" customHeight="1">
      <c r="A274" s="8">
        <f>Insurance!A167</f>
        <v>47</v>
      </c>
      <c r="B274" s="7">
        <f>Insurance!C167</f>
        <v>28.215</v>
      </c>
    </row>
    <row r="275" spans="1:2" ht="15" customHeight="1">
      <c r="A275" s="8">
        <f>Insurance!A168</f>
        <v>20</v>
      </c>
      <c r="B275" s="7">
        <f>Insurance!C168</f>
        <v>37</v>
      </c>
    </row>
    <row r="276" spans="1:2" ht="15" customHeight="1">
      <c r="A276" s="8">
        <f>Insurance!A169</f>
        <v>32</v>
      </c>
      <c r="B276" s="7">
        <f>Insurance!C169</f>
        <v>33.155000000000001</v>
      </c>
    </row>
    <row r="277" spans="1:2" ht="15" customHeight="1">
      <c r="A277" s="8">
        <f>Insurance!A170</f>
        <v>19</v>
      </c>
      <c r="B277" s="7">
        <f>Insurance!C170</f>
        <v>31.824999999999999</v>
      </c>
    </row>
    <row r="278" spans="1:2" ht="15" customHeight="1">
      <c r="A278" s="8">
        <f>Insurance!A171</f>
        <v>27</v>
      </c>
      <c r="B278" s="7">
        <f>Insurance!C171</f>
        <v>18.905000000000001</v>
      </c>
    </row>
    <row r="279" spans="1:2" ht="15" customHeight="1">
      <c r="A279" s="8">
        <f>Insurance!A172</f>
        <v>63</v>
      </c>
      <c r="B279" s="7">
        <f>Insurance!C172</f>
        <v>41.47</v>
      </c>
    </row>
    <row r="280" spans="1:2" ht="15" customHeight="1">
      <c r="A280" s="8">
        <f>Insurance!A173</f>
        <v>49</v>
      </c>
      <c r="B280" s="7">
        <f>Insurance!C173</f>
        <v>30.3</v>
      </c>
    </row>
    <row r="281" spans="1:2" ht="15" customHeight="1">
      <c r="A281" s="8">
        <f>Insurance!A174</f>
        <v>18</v>
      </c>
      <c r="B281" s="7">
        <f>Insurance!C174</f>
        <v>15.96</v>
      </c>
    </row>
    <row r="282" spans="1:2" ht="15" customHeight="1">
      <c r="A282" s="8">
        <f>Insurance!A175</f>
        <v>35</v>
      </c>
      <c r="B282" s="7">
        <f>Insurance!C175</f>
        <v>34.799999999999997</v>
      </c>
    </row>
    <row r="283" spans="1:2" ht="15" customHeight="1">
      <c r="A283" s="8">
        <f>Insurance!A176</f>
        <v>24</v>
      </c>
      <c r="B283" s="7">
        <f>Insurance!C176</f>
        <v>33.344999999999999</v>
      </c>
    </row>
    <row r="284" spans="1:2" ht="15" customHeight="1">
      <c r="A284" s="8">
        <f>Insurance!A177</f>
        <v>63</v>
      </c>
      <c r="B284" s="7">
        <f>Insurance!C177</f>
        <v>37.700000000000003</v>
      </c>
    </row>
    <row r="285" spans="1:2" ht="15" customHeight="1">
      <c r="A285" s="8">
        <f>Insurance!A178</f>
        <v>38</v>
      </c>
      <c r="B285" s="7">
        <f>Insurance!C178</f>
        <v>27.835000000000001</v>
      </c>
    </row>
    <row r="286" spans="1:2" ht="15" customHeight="1">
      <c r="A286" s="8">
        <f>Insurance!A179</f>
        <v>54</v>
      </c>
      <c r="B286" s="7">
        <f>Insurance!C179</f>
        <v>29.2</v>
      </c>
    </row>
    <row r="287" spans="1:2" ht="15" customHeight="1">
      <c r="A287" s="8">
        <f>Insurance!A180</f>
        <v>46</v>
      </c>
      <c r="B287" s="7">
        <f>Insurance!C180</f>
        <v>28.9</v>
      </c>
    </row>
    <row r="288" spans="1:2" ht="15" customHeight="1">
      <c r="A288" s="8">
        <f>Insurance!A181</f>
        <v>41</v>
      </c>
      <c r="B288" s="7">
        <f>Insurance!C181</f>
        <v>33.155000000000001</v>
      </c>
    </row>
    <row r="289" spans="1:2" ht="15" customHeight="1">
      <c r="A289" s="8">
        <f>Insurance!A182</f>
        <v>58</v>
      </c>
      <c r="B289" s="7">
        <f>Insurance!C182</f>
        <v>28.594999999999999</v>
      </c>
    </row>
    <row r="290" spans="1:2" ht="15" customHeight="1">
      <c r="A290" s="8">
        <f>Insurance!A183</f>
        <v>18</v>
      </c>
      <c r="B290" s="7">
        <f>Insurance!C183</f>
        <v>38.28</v>
      </c>
    </row>
    <row r="291" spans="1:2" ht="15" customHeight="1">
      <c r="A291" s="8">
        <f>Insurance!A184</f>
        <v>22</v>
      </c>
      <c r="B291" s="7">
        <f>Insurance!C184</f>
        <v>19.95</v>
      </c>
    </row>
    <row r="292" spans="1:2" ht="15" customHeight="1">
      <c r="A292" s="8">
        <f>Insurance!A185</f>
        <v>44</v>
      </c>
      <c r="B292" s="7">
        <f>Insurance!C185</f>
        <v>26.41</v>
      </c>
    </row>
    <row r="293" spans="1:2" ht="15" customHeight="1">
      <c r="A293" s="8">
        <f>Insurance!A186</f>
        <v>44</v>
      </c>
      <c r="B293" s="7">
        <f>Insurance!C186</f>
        <v>30.69</v>
      </c>
    </row>
    <row r="294" spans="1:2" ht="15" customHeight="1">
      <c r="A294" s="8">
        <f>Insurance!A187</f>
        <v>36</v>
      </c>
      <c r="B294" s="7">
        <f>Insurance!C187</f>
        <v>41.895000000000003</v>
      </c>
    </row>
    <row r="295" spans="1:2" ht="15" customHeight="1">
      <c r="A295" s="8">
        <f>Insurance!A188</f>
        <v>26</v>
      </c>
      <c r="B295" s="7">
        <f>Insurance!C188</f>
        <v>29.92</v>
      </c>
    </row>
    <row r="296" spans="1:2" ht="15" customHeight="1">
      <c r="A296" s="8">
        <f>Insurance!A189</f>
        <v>30</v>
      </c>
      <c r="B296" s="7">
        <f>Insurance!C189</f>
        <v>30.9</v>
      </c>
    </row>
    <row r="297" spans="1:2" ht="15" customHeight="1">
      <c r="A297" s="8">
        <f>Insurance!A190</f>
        <v>41</v>
      </c>
      <c r="B297" s="7">
        <f>Insurance!C190</f>
        <v>32.200000000000003</v>
      </c>
    </row>
    <row r="298" spans="1:2" ht="15" customHeight="1">
      <c r="A298" s="8">
        <f>Insurance!A191</f>
        <v>29</v>
      </c>
      <c r="B298" s="7">
        <f>Insurance!C191</f>
        <v>32.11</v>
      </c>
    </row>
    <row r="299" spans="1:2" ht="15" customHeight="1">
      <c r="A299" s="8">
        <f>Insurance!A192</f>
        <v>61</v>
      </c>
      <c r="B299" s="7">
        <f>Insurance!C192</f>
        <v>31.57</v>
      </c>
    </row>
    <row r="300" spans="1:2" ht="15" customHeight="1">
      <c r="A300" s="8">
        <f>Insurance!A193</f>
        <v>36</v>
      </c>
      <c r="B300" s="7">
        <f>Insurance!C193</f>
        <v>26.2</v>
      </c>
    </row>
    <row r="301" spans="1:2" ht="15" customHeight="1">
      <c r="A301" s="8">
        <f>Insurance!A194</f>
        <v>25</v>
      </c>
      <c r="B301" s="7">
        <f>Insurance!C194</f>
        <v>25.74</v>
      </c>
    </row>
    <row r="302" spans="1:2" ht="15" customHeight="1">
      <c r="A302" s="8">
        <f>Insurance!A195</f>
        <v>56</v>
      </c>
      <c r="B302" s="7">
        <f>Insurance!C195</f>
        <v>26.6</v>
      </c>
    </row>
    <row r="303" spans="1:2" ht="15" customHeight="1">
      <c r="A303" s="8">
        <f>Insurance!A196</f>
        <v>18</v>
      </c>
      <c r="B303" s="7">
        <f>Insurance!C196</f>
        <v>34.43</v>
      </c>
    </row>
    <row r="304" spans="1:2" ht="15" customHeight="1">
      <c r="A304" s="8">
        <f>Insurance!A197</f>
        <v>19</v>
      </c>
      <c r="B304" s="7">
        <f>Insurance!C197</f>
        <v>30.59</v>
      </c>
    </row>
    <row r="305" spans="1:2" ht="15" customHeight="1">
      <c r="A305" s="8">
        <f>Insurance!A198</f>
        <v>39</v>
      </c>
      <c r="B305" s="7">
        <f>Insurance!C198</f>
        <v>32.799999999999997</v>
      </c>
    </row>
    <row r="306" spans="1:2" ht="15" customHeight="1">
      <c r="A306" s="8">
        <f>Insurance!A199</f>
        <v>45</v>
      </c>
      <c r="B306" s="7">
        <f>Insurance!C199</f>
        <v>28.6</v>
      </c>
    </row>
    <row r="307" spans="1:2" ht="15" customHeight="1">
      <c r="A307" s="8">
        <f>Insurance!A200</f>
        <v>51</v>
      </c>
      <c r="B307" s="7">
        <f>Insurance!C200</f>
        <v>18.05</v>
      </c>
    </row>
    <row r="308" spans="1:2" ht="15" customHeight="1">
      <c r="A308" s="8">
        <f>Insurance!A201</f>
        <v>64</v>
      </c>
      <c r="B308" s="7">
        <f>Insurance!C201</f>
        <v>39.33</v>
      </c>
    </row>
    <row r="309" spans="1:2" ht="15" customHeight="1">
      <c r="A309" s="8">
        <f>Insurance!A202</f>
        <v>19</v>
      </c>
      <c r="B309" s="7">
        <f>Insurance!C202</f>
        <v>32.11</v>
      </c>
    </row>
    <row r="310" spans="1:2" ht="15" customHeight="1">
      <c r="A310" s="8">
        <f>Insurance!A203</f>
        <v>48</v>
      </c>
      <c r="B310" s="7">
        <f>Insurance!C203</f>
        <v>32.229999999999997</v>
      </c>
    </row>
    <row r="311" spans="1:2" ht="15" customHeight="1">
      <c r="A311" s="8">
        <f>Insurance!A204</f>
        <v>60</v>
      </c>
      <c r="B311" s="7">
        <f>Insurance!C204</f>
        <v>24.035</v>
      </c>
    </row>
    <row r="312" spans="1:2" ht="15" customHeight="1">
      <c r="A312" s="8">
        <f>Insurance!A205</f>
        <v>27</v>
      </c>
      <c r="B312" s="7">
        <f>Insurance!C205</f>
        <v>36.08</v>
      </c>
    </row>
    <row r="313" spans="1:2" ht="15" customHeight="1">
      <c r="A313" s="8">
        <f>Insurance!A206</f>
        <v>46</v>
      </c>
      <c r="B313" s="7">
        <f>Insurance!C206</f>
        <v>22.3</v>
      </c>
    </row>
    <row r="314" spans="1:2" ht="15" customHeight="1">
      <c r="A314" s="8">
        <f>Insurance!A207</f>
        <v>28</v>
      </c>
      <c r="B314" s="7">
        <f>Insurance!C207</f>
        <v>28.88</v>
      </c>
    </row>
    <row r="315" spans="1:2" ht="15" customHeight="1">
      <c r="A315" s="8">
        <f>Insurance!A208</f>
        <v>59</v>
      </c>
      <c r="B315" s="7">
        <f>Insurance!C208</f>
        <v>26.4</v>
      </c>
    </row>
    <row r="316" spans="1:2" ht="15" customHeight="1">
      <c r="A316" s="8">
        <f>Insurance!A209</f>
        <v>35</v>
      </c>
      <c r="B316" s="7">
        <f>Insurance!C209</f>
        <v>27.74</v>
      </c>
    </row>
    <row r="317" spans="1:2" ht="15" customHeight="1">
      <c r="A317" s="8">
        <f>Insurance!A210</f>
        <v>63</v>
      </c>
      <c r="B317" s="7">
        <f>Insurance!C210</f>
        <v>31.8</v>
      </c>
    </row>
    <row r="318" spans="1:2" ht="15" customHeight="1">
      <c r="A318" s="8">
        <f>Insurance!A211</f>
        <v>40</v>
      </c>
      <c r="B318" s="7">
        <f>Insurance!C211</f>
        <v>41.23</v>
      </c>
    </row>
    <row r="319" spans="1:2" ht="15" customHeight="1">
      <c r="A319" s="8">
        <f>Insurance!A212</f>
        <v>20</v>
      </c>
      <c r="B319" s="7">
        <f>Insurance!C212</f>
        <v>33</v>
      </c>
    </row>
    <row r="320" spans="1:2" ht="15" customHeight="1">
      <c r="A320" s="8">
        <f>Insurance!A213</f>
        <v>40</v>
      </c>
      <c r="B320" s="7">
        <f>Insurance!C213</f>
        <v>30.875</v>
      </c>
    </row>
    <row r="321" spans="1:2" ht="15" customHeight="1">
      <c r="A321" s="8">
        <f>Insurance!A214</f>
        <v>24</v>
      </c>
      <c r="B321" s="7">
        <f>Insurance!C214</f>
        <v>28.5</v>
      </c>
    </row>
    <row r="322" spans="1:2" ht="15" customHeight="1">
      <c r="A322" s="8">
        <f>Insurance!A215</f>
        <v>34</v>
      </c>
      <c r="B322" s="7">
        <f>Insurance!C215</f>
        <v>26.73</v>
      </c>
    </row>
    <row r="323" spans="1:2" ht="15" customHeight="1">
      <c r="A323" s="8">
        <f>Insurance!A216</f>
        <v>45</v>
      </c>
      <c r="B323" s="7">
        <f>Insurance!C216</f>
        <v>30.9</v>
      </c>
    </row>
    <row r="324" spans="1:2" ht="15" customHeight="1">
      <c r="A324" s="8">
        <f>Insurance!A217</f>
        <v>41</v>
      </c>
      <c r="B324" s="7">
        <f>Insurance!C217</f>
        <v>37.1</v>
      </c>
    </row>
    <row r="325" spans="1:2" ht="15" customHeight="1">
      <c r="A325" s="8">
        <f>Insurance!A218</f>
        <v>53</v>
      </c>
      <c r="B325" s="7">
        <f>Insurance!C218</f>
        <v>26.6</v>
      </c>
    </row>
    <row r="326" spans="1:2" ht="15" customHeight="1">
      <c r="A326" s="8">
        <f>Insurance!A219</f>
        <v>27</v>
      </c>
      <c r="B326" s="7">
        <f>Insurance!C219</f>
        <v>23.1</v>
      </c>
    </row>
    <row r="327" spans="1:2" ht="15" customHeight="1">
      <c r="A327" s="8">
        <f>Insurance!A220</f>
        <v>26</v>
      </c>
      <c r="B327" s="7">
        <f>Insurance!C220</f>
        <v>29.92</v>
      </c>
    </row>
    <row r="328" spans="1:2" ht="15" customHeight="1">
      <c r="A328" s="8">
        <f>Insurance!A221</f>
        <v>24</v>
      </c>
      <c r="B328" s="7">
        <f>Insurance!C221</f>
        <v>23.21</v>
      </c>
    </row>
    <row r="329" spans="1:2" ht="15" customHeight="1">
      <c r="A329" s="8">
        <f>Insurance!A222</f>
        <v>34</v>
      </c>
      <c r="B329" s="7">
        <f>Insurance!C222</f>
        <v>33.700000000000003</v>
      </c>
    </row>
    <row r="330" spans="1:2" ht="15" customHeight="1">
      <c r="A330" s="8">
        <f>Insurance!A223</f>
        <v>53</v>
      </c>
      <c r="B330" s="7">
        <f>Insurance!C223</f>
        <v>33.25</v>
      </c>
    </row>
    <row r="331" spans="1:2" ht="15" customHeight="1">
      <c r="A331" s="8">
        <f>Insurance!A224</f>
        <v>32</v>
      </c>
      <c r="B331" s="7">
        <f>Insurance!C224</f>
        <v>30.8</v>
      </c>
    </row>
    <row r="332" spans="1:2" ht="15" customHeight="1">
      <c r="A332" s="8">
        <f>Insurance!A225</f>
        <v>19</v>
      </c>
      <c r="B332" s="7">
        <f>Insurance!C225</f>
        <v>34.799999999999997</v>
      </c>
    </row>
    <row r="333" spans="1:2" ht="15" customHeight="1">
      <c r="A333" s="8">
        <f>Insurance!A226</f>
        <v>42</v>
      </c>
      <c r="B333" s="7">
        <f>Insurance!C226</f>
        <v>24.64</v>
      </c>
    </row>
    <row r="334" spans="1:2" ht="15" customHeight="1">
      <c r="A334" s="8">
        <f>Insurance!A227</f>
        <v>55</v>
      </c>
      <c r="B334" s="7">
        <f>Insurance!C227</f>
        <v>33.880000000000003</v>
      </c>
    </row>
    <row r="335" spans="1:2" ht="15" customHeight="1">
      <c r="A335" s="8">
        <f>Insurance!A228</f>
        <v>28</v>
      </c>
      <c r="B335" s="7">
        <f>Insurance!C228</f>
        <v>38.06</v>
      </c>
    </row>
    <row r="336" spans="1:2" ht="15" customHeight="1">
      <c r="A336" s="8">
        <f>Insurance!A229</f>
        <v>58</v>
      </c>
      <c r="B336" s="7">
        <f>Insurance!C229</f>
        <v>41.91</v>
      </c>
    </row>
    <row r="337" spans="1:2" ht="15" customHeight="1">
      <c r="A337" s="8">
        <f>Insurance!A230</f>
        <v>41</v>
      </c>
      <c r="B337" s="7">
        <f>Insurance!C230</f>
        <v>31.635000000000002</v>
      </c>
    </row>
    <row r="338" spans="1:2" ht="15" customHeight="1">
      <c r="A338" s="8">
        <f>Insurance!A231</f>
        <v>47</v>
      </c>
      <c r="B338" s="7">
        <f>Insurance!C231</f>
        <v>25.46</v>
      </c>
    </row>
    <row r="339" spans="1:2" ht="15" customHeight="1">
      <c r="A339" s="8">
        <f>Insurance!A232</f>
        <v>42</v>
      </c>
      <c r="B339" s="7">
        <f>Insurance!C232</f>
        <v>36.195</v>
      </c>
    </row>
    <row r="340" spans="1:2" ht="15" customHeight="1">
      <c r="A340" s="8">
        <f>Insurance!A233</f>
        <v>59</v>
      </c>
      <c r="B340" s="7">
        <f>Insurance!C233</f>
        <v>27.83</v>
      </c>
    </row>
    <row r="341" spans="1:2" ht="15" customHeight="1">
      <c r="A341" s="8">
        <f>Insurance!A234</f>
        <v>19</v>
      </c>
      <c r="B341" s="7">
        <f>Insurance!C234</f>
        <v>17.8</v>
      </c>
    </row>
    <row r="342" spans="1:2" ht="15" customHeight="1">
      <c r="A342" s="8">
        <f>Insurance!A235</f>
        <v>59</v>
      </c>
      <c r="B342" s="7">
        <f>Insurance!C235</f>
        <v>27.5</v>
      </c>
    </row>
    <row r="343" spans="1:2" ht="15" customHeight="1">
      <c r="A343" s="8">
        <f>Insurance!A236</f>
        <v>39</v>
      </c>
      <c r="B343" s="7">
        <f>Insurance!C236</f>
        <v>24.51</v>
      </c>
    </row>
    <row r="344" spans="1:2" ht="15" customHeight="1">
      <c r="A344" s="8">
        <f>Insurance!A237</f>
        <v>40</v>
      </c>
      <c r="B344" s="7">
        <f>Insurance!C237</f>
        <v>22.22</v>
      </c>
    </row>
    <row r="345" spans="1:2" ht="15" customHeight="1">
      <c r="A345" s="8">
        <f>Insurance!A238</f>
        <v>18</v>
      </c>
      <c r="B345" s="7">
        <f>Insurance!C238</f>
        <v>26.73</v>
      </c>
    </row>
    <row r="346" spans="1:2" ht="15" customHeight="1">
      <c r="A346" s="8">
        <f>Insurance!A239</f>
        <v>31</v>
      </c>
      <c r="B346" s="7">
        <f>Insurance!C239</f>
        <v>38.39</v>
      </c>
    </row>
    <row r="347" spans="1:2" ht="15" customHeight="1">
      <c r="A347" s="8">
        <f>Insurance!A240</f>
        <v>19</v>
      </c>
      <c r="B347" s="7">
        <f>Insurance!C240</f>
        <v>29.07</v>
      </c>
    </row>
    <row r="348" spans="1:2" ht="15" customHeight="1">
      <c r="A348" s="8">
        <f>Insurance!A241</f>
        <v>44</v>
      </c>
      <c r="B348" s="7">
        <f>Insurance!C241</f>
        <v>38.06</v>
      </c>
    </row>
    <row r="349" spans="1:2" ht="15" customHeight="1">
      <c r="A349" s="8">
        <f>Insurance!A242</f>
        <v>23</v>
      </c>
      <c r="B349" s="7">
        <f>Insurance!C242</f>
        <v>36.67</v>
      </c>
    </row>
    <row r="350" spans="1:2" ht="15" customHeight="1">
      <c r="A350" s="8">
        <f>Insurance!A243</f>
        <v>33</v>
      </c>
      <c r="B350" s="7">
        <f>Insurance!C243</f>
        <v>22.135000000000002</v>
      </c>
    </row>
    <row r="351" spans="1:2" ht="15" customHeight="1">
      <c r="A351" s="8">
        <f>Insurance!A244</f>
        <v>55</v>
      </c>
      <c r="B351" s="7">
        <f>Insurance!C244</f>
        <v>26.8</v>
      </c>
    </row>
    <row r="352" spans="1:2" ht="15" customHeight="1">
      <c r="A352" s="8">
        <f>Insurance!A245</f>
        <v>40</v>
      </c>
      <c r="B352" s="7">
        <f>Insurance!C245</f>
        <v>35.299999999999997</v>
      </c>
    </row>
    <row r="353" spans="1:2" ht="15" customHeight="1">
      <c r="A353" s="8">
        <f>Insurance!A246</f>
        <v>63</v>
      </c>
      <c r="B353" s="7">
        <f>Insurance!C246</f>
        <v>27.74</v>
      </c>
    </row>
    <row r="354" spans="1:2" ht="15" customHeight="1">
      <c r="A354" s="8">
        <f>Insurance!A247</f>
        <v>54</v>
      </c>
      <c r="B354" s="7">
        <f>Insurance!C247</f>
        <v>30.02</v>
      </c>
    </row>
    <row r="355" spans="1:2" ht="15" customHeight="1">
      <c r="A355" s="8">
        <f>Insurance!A248</f>
        <v>60</v>
      </c>
      <c r="B355" s="7">
        <f>Insurance!C248</f>
        <v>38.06</v>
      </c>
    </row>
    <row r="356" spans="1:2" ht="15" customHeight="1">
      <c r="A356" s="8">
        <f>Insurance!A249</f>
        <v>24</v>
      </c>
      <c r="B356" s="7">
        <f>Insurance!C249</f>
        <v>35.86</v>
      </c>
    </row>
    <row r="357" spans="1:2" ht="15" customHeight="1">
      <c r="A357" s="8">
        <f>Insurance!A250</f>
        <v>19</v>
      </c>
      <c r="B357" s="7">
        <f>Insurance!C250</f>
        <v>20.9</v>
      </c>
    </row>
    <row r="358" spans="1:2" ht="15" customHeight="1">
      <c r="A358" s="8">
        <f>Insurance!A251</f>
        <v>29</v>
      </c>
      <c r="B358" s="7">
        <f>Insurance!C251</f>
        <v>28.975000000000001</v>
      </c>
    </row>
    <row r="359" spans="1:2" ht="15" customHeight="1">
      <c r="A359" s="8">
        <f>Insurance!A252</f>
        <v>18</v>
      </c>
      <c r="B359" s="7">
        <f>Insurance!C252</f>
        <v>17.29</v>
      </c>
    </row>
    <row r="360" spans="1:2" ht="15" customHeight="1">
      <c r="A360" s="8">
        <f>Insurance!A253</f>
        <v>63</v>
      </c>
      <c r="B360" s="7">
        <f>Insurance!C253</f>
        <v>32.200000000000003</v>
      </c>
    </row>
    <row r="361" spans="1:2" ht="15" customHeight="1">
      <c r="A361" s="8">
        <f>Insurance!A254</f>
        <v>54</v>
      </c>
      <c r="B361" s="7">
        <f>Insurance!C254</f>
        <v>34.21</v>
      </c>
    </row>
    <row r="362" spans="1:2" ht="15" customHeight="1">
      <c r="A362" s="8">
        <f>Insurance!A255</f>
        <v>27</v>
      </c>
      <c r="B362" s="7">
        <f>Insurance!C255</f>
        <v>30.3</v>
      </c>
    </row>
    <row r="363" spans="1:2" ht="15" customHeight="1">
      <c r="A363" s="8">
        <f>Insurance!A256</f>
        <v>50</v>
      </c>
      <c r="B363" s="7">
        <f>Insurance!C256</f>
        <v>31.824999999999999</v>
      </c>
    </row>
    <row r="364" spans="1:2" ht="15" customHeight="1">
      <c r="A364" s="8">
        <f>Insurance!A257</f>
        <v>55</v>
      </c>
      <c r="B364" s="7">
        <f>Insurance!C257</f>
        <v>25.364999999999998</v>
      </c>
    </row>
    <row r="365" spans="1:2" ht="15" customHeight="1">
      <c r="A365" s="8">
        <f>Insurance!A258</f>
        <v>56</v>
      </c>
      <c r="B365" s="7">
        <f>Insurance!C258</f>
        <v>33.630000000000003</v>
      </c>
    </row>
    <row r="366" spans="1:2" ht="15" customHeight="1">
      <c r="A366" s="8">
        <f>Insurance!A259</f>
        <v>38</v>
      </c>
      <c r="B366" s="7">
        <f>Insurance!C259</f>
        <v>40.15</v>
      </c>
    </row>
    <row r="367" spans="1:2" ht="15" customHeight="1">
      <c r="A367" s="8">
        <f>Insurance!A260</f>
        <v>51</v>
      </c>
      <c r="B367" s="7">
        <f>Insurance!C260</f>
        <v>24.414999999999999</v>
      </c>
    </row>
    <row r="368" spans="1:2" ht="15" customHeight="1">
      <c r="A368" s="8">
        <f>Insurance!A261</f>
        <v>19</v>
      </c>
      <c r="B368" s="7">
        <f>Insurance!C261</f>
        <v>31.92</v>
      </c>
    </row>
    <row r="369" spans="1:2" ht="15" customHeight="1">
      <c r="A369" s="8">
        <f>Insurance!A262</f>
        <v>58</v>
      </c>
      <c r="B369" s="7">
        <f>Insurance!C262</f>
        <v>25.2</v>
      </c>
    </row>
    <row r="370" spans="1:2" ht="15" customHeight="1">
      <c r="A370" s="8">
        <f>Insurance!A263</f>
        <v>20</v>
      </c>
      <c r="B370" s="7">
        <f>Insurance!C263</f>
        <v>26.84</v>
      </c>
    </row>
    <row r="371" spans="1:2" ht="15" customHeight="1">
      <c r="A371" s="8">
        <f>Insurance!A264</f>
        <v>52</v>
      </c>
      <c r="B371" s="7">
        <f>Insurance!C264</f>
        <v>24.32</v>
      </c>
    </row>
    <row r="372" spans="1:2" ht="15" customHeight="1">
      <c r="A372" s="8">
        <f>Insurance!A265</f>
        <v>19</v>
      </c>
      <c r="B372" s="7">
        <f>Insurance!C265</f>
        <v>36.954999999999998</v>
      </c>
    </row>
    <row r="373" spans="1:2" ht="15" customHeight="1">
      <c r="A373" s="8">
        <f>Insurance!A266</f>
        <v>53</v>
      </c>
      <c r="B373" s="7">
        <f>Insurance!C266</f>
        <v>38.06</v>
      </c>
    </row>
    <row r="374" spans="1:2" ht="15" customHeight="1">
      <c r="A374" s="8">
        <f>Insurance!A267</f>
        <v>46</v>
      </c>
      <c r="B374" s="7">
        <f>Insurance!C267</f>
        <v>42.35</v>
      </c>
    </row>
    <row r="375" spans="1:2" ht="15" customHeight="1">
      <c r="A375" s="8">
        <f>Insurance!A268</f>
        <v>40</v>
      </c>
      <c r="B375" s="7">
        <f>Insurance!C268</f>
        <v>19.8</v>
      </c>
    </row>
    <row r="376" spans="1:2" ht="15" customHeight="1">
      <c r="A376" s="8">
        <f>Insurance!A269</f>
        <v>59</v>
      </c>
      <c r="B376" s="7">
        <f>Insurance!C269</f>
        <v>32.395000000000003</v>
      </c>
    </row>
    <row r="377" spans="1:2" ht="15" customHeight="1">
      <c r="A377" s="8">
        <f>Insurance!A270</f>
        <v>45</v>
      </c>
      <c r="B377" s="7">
        <f>Insurance!C270</f>
        <v>30.2</v>
      </c>
    </row>
    <row r="378" spans="1:2" ht="15" customHeight="1">
      <c r="A378" s="8">
        <f>Insurance!A271</f>
        <v>49</v>
      </c>
      <c r="B378" s="7">
        <f>Insurance!C271</f>
        <v>25.84</v>
      </c>
    </row>
    <row r="379" spans="1:2" ht="15" customHeight="1">
      <c r="A379" s="8">
        <f>Insurance!A272</f>
        <v>18</v>
      </c>
      <c r="B379" s="7">
        <f>Insurance!C272</f>
        <v>29.37</v>
      </c>
    </row>
    <row r="380" spans="1:2" ht="15" customHeight="1">
      <c r="A380" s="8">
        <f>Insurance!A273</f>
        <v>50</v>
      </c>
      <c r="B380" s="7">
        <f>Insurance!C273</f>
        <v>34.200000000000003</v>
      </c>
    </row>
    <row r="381" spans="1:2" ht="15" customHeight="1">
      <c r="A381" s="8">
        <f>Insurance!A274</f>
        <v>41</v>
      </c>
      <c r="B381" s="7">
        <f>Insurance!C274</f>
        <v>37.049999999999997</v>
      </c>
    </row>
    <row r="382" spans="1:2" ht="15" customHeight="1">
      <c r="A382" s="8">
        <f>Insurance!A275</f>
        <v>50</v>
      </c>
      <c r="B382" s="7">
        <f>Insurance!C275</f>
        <v>27.454999999999998</v>
      </c>
    </row>
    <row r="383" spans="1:2" ht="15" customHeight="1">
      <c r="A383" s="8">
        <f>Insurance!A276</f>
        <v>25</v>
      </c>
      <c r="B383" s="7">
        <f>Insurance!C276</f>
        <v>27.55</v>
      </c>
    </row>
    <row r="384" spans="1:2" ht="15" customHeight="1">
      <c r="A384" s="8">
        <f>Insurance!A277</f>
        <v>47</v>
      </c>
      <c r="B384" s="7">
        <f>Insurance!C277</f>
        <v>26.6</v>
      </c>
    </row>
    <row r="385" spans="1:2" ht="15" customHeight="1">
      <c r="A385" s="8">
        <f>Insurance!A278</f>
        <v>19</v>
      </c>
      <c r="B385" s="7">
        <f>Insurance!C278</f>
        <v>20.614999999999998</v>
      </c>
    </row>
    <row r="386" spans="1:2" ht="15" customHeight="1">
      <c r="A386" s="8">
        <f>Insurance!A279</f>
        <v>22</v>
      </c>
      <c r="B386" s="7">
        <f>Insurance!C279</f>
        <v>24.3</v>
      </c>
    </row>
    <row r="387" spans="1:2" ht="15" customHeight="1">
      <c r="A387" s="8">
        <f>Insurance!A280</f>
        <v>59</v>
      </c>
      <c r="B387" s="7">
        <f>Insurance!C280</f>
        <v>31.79</v>
      </c>
    </row>
    <row r="388" spans="1:2" ht="15" customHeight="1">
      <c r="A388" s="8">
        <f>Insurance!A281</f>
        <v>51</v>
      </c>
      <c r="B388" s="7">
        <f>Insurance!C281</f>
        <v>21.56</v>
      </c>
    </row>
    <row r="389" spans="1:2" ht="15" customHeight="1">
      <c r="A389" s="8">
        <f>Insurance!A282</f>
        <v>40</v>
      </c>
      <c r="B389" s="7">
        <f>Insurance!C282</f>
        <v>28.12</v>
      </c>
    </row>
    <row r="390" spans="1:2" ht="15" customHeight="1">
      <c r="A390" s="8">
        <f>Insurance!A283</f>
        <v>54</v>
      </c>
      <c r="B390" s="7">
        <f>Insurance!C283</f>
        <v>40.564999999999998</v>
      </c>
    </row>
    <row r="391" spans="1:2" ht="15" customHeight="1">
      <c r="A391" s="8">
        <f>Insurance!A284</f>
        <v>30</v>
      </c>
      <c r="B391" s="7">
        <f>Insurance!C284</f>
        <v>27.645</v>
      </c>
    </row>
    <row r="392" spans="1:2" ht="15" customHeight="1">
      <c r="A392" s="8">
        <f>Insurance!A285</f>
        <v>55</v>
      </c>
      <c r="B392" s="7">
        <f>Insurance!C285</f>
        <v>32.395000000000003</v>
      </c>
    </row>
    <row r="393" spans="1:2" ht="15" customHeight="1">
      <c r="A393" s="8">
        <f>Insurance!A286</f>
        <v>52</v>
      </c>
      <c r="B393" s="7">
        <f>Insurance!C286</f>
        <v>31.2</v>
      </c>
    </row>
    <row r="394" spans="1:2" ht="15" customHeight="1">
      <c r="A394" s="8">
        <f>Insurance!A287</f>
        <v>46</v>
      </c>
      <c r="B394" s="7">
        <f>Insurance!C287</f>
        <v>26.62</v>
      </c>
    </row>
    <row r="395" spans="1:2" ht="15" customHeight="1">
      <c r="A395" s="8">
        <f>Insurance!A288</f>
        <v>46</v>
      </c>
      <c r="B395" s="7">
        <f>Insurance!C288</f>
        <v>48.07</v>
      </c>
    </row>
    <row r="396" spans="1:2" ht="15" customHeight="1">
      <c r="A396" s="8">
        <f>Insurance!A289</f>
        <v>63</v>
      </c>
      <c r="B396" s="7">
        <f>Insurance!C289</f>
        <v>26.22</v>
      </c>
    </row>
    <row r="397" spans="1:2" ht="15" customHeight="1">
      <c r="A397" s="8">
        <f>Insurance!A290</f>
        <v>59</v>
      </c>
      <c r="B397" s="7">
        <f>Insurance!C290</f>
        <v>36.765000000000001</v>
      </c>
    </row>
    <row r="398" spans="1:2" ht="15" customHeight="1">
      <c r="A398" s="8">
        <f>Insurance!A291</f>
        <v>52</v>
      </c>
      <c r="B398" s="7">
        <f>Insurance!C291</f>
        <v>26.4</v>
      </c>
    </row>
    <row r="399" spans="1:2" ht="15" customHeight="1">
      <c r="A399" s="8">
        <f>Insurance!A292</f>
        <v>28</v>
      </c>
      <c r="B399" s="7">
        <f>Insurance!C292</f>
        <v>33.4</v>
      </c>
    </row>
    <row r="400" spans="1:2" ht="15" customHeight="1">
      <c r="A400" s="8">
        <f>Insurance!A293</f>
        <v>29</v>
      </c>
      <c r="B400" s="7">
        <f>Insurance!C293</f>
        <v>29.64</v>
      </c>
    </row>
    <row r="401" spans="1:2" ht="15" customHeight="1">
      <c r="A401" s="8">
        <f>Insurance!A294</f>
        <v>25</v>
      </c>
      <c r="B401" s="7">
        <f>Insurance!C294</f>
        <v>45.54</v>
      </c>
    </row>
    <row r="402" spans="1:2" ht="15" customHeight="1">
      <c r="A402" s="8">
        <f>Insurance!A295</f>
        <v>22</v>
      </c>
      <c r="B402" s="7">
        <f>Insurance!C295</f>
        <v>28.82</v>
      </c>
    </row>
    <row r="403" spans="1:2" ht="15" customHeight="1">
      <c r="A403" s="8">
        <f>Insurance!A296</f>
        <v>25</v>
      </c>
      <c r="B403" s="7">
        <f>Insurance!C296</f>
        <v>26.8</v>
      </c>
    </row>
    <row r="404" spans="1:2" ht="15" customHeight="1">
      <c r="A404" s="8">
        <f>Insurance!A297</f>
        <v>18</v>
      </c>
      <c r="B404" s="7">
        <f>Insurance!C297</f>
        <v>22.99</v>
      </c>
    </row>
    <row r="405" spans="1:2" ht="15" customHeight="1">
      <c r="A405" s="8">
        <f>Insurance!A298</f>
        <v>19</v>
      </c>
      <c r="B405" s="7">
        <f>Insurance!C298</f>
        <v>27.7</v>
      </c>
    </row>
    <row r="406" spans="1:2" ht="15" customHeight="1">
      <c r="A406" s="8">
        <f>Insurance!A299</f>
        <v>47</v>
      </c>
      <c r="B406" s="7">
        <f>Insurance!C299</f>
        <v>25.41</v>
      </c>
    </row>
    <row r="407" spans="1:2" ht="15" customHeight="1">
      <c r="A407" s="8">
        <f>Insurance!A300</f>
        <v>31</v>
      </c>
      <c r="B407" s="7">
        <f>Insurance!C300</f>
        <v>34.39</v>
      </c>
    </row>
    <row r="408" spans="1:2" ht="15" customHeight="1">
      <c r="A408" s="8">
        <f>Insurance!A301</f>
        <v>48</v>
      </c>
      <c r="B408" s="7">
        <f>Insurance!C301</f>
        <v>28.88</v>
      </c>
    </row>
    <row r="409" spans="1:2" ht="15" customHeight="1">
      <c r="A409" s="8">
        <f>Insurance!A302</f>
        <v>36</v>
      </c>
      <c r="B409" s="7">
        <f>Insurance!C302</f>
        <v>27.55</v>
      </c>
    </row>
    <row r="410" spans="1:2" ht="15" customHeight="1">
      <c r="A410" s="8">
        <f>Insurance!A303</f>
        <v>53</v>
      </c>
      <c r="B410" s="7">
        <f>Insurance!C303</f>
        <v>22.61</v>
      </c>
    </row>
    <row r="411" spans="1:2" ht="15" customHeight="1">
      <c r="A411" s="8">
        <f>Insurance!A304</f>
        <v>56</v>
      </c>
      <c r="B411" s="7">
        <f>Insurance!C304</f>
        <v>37.51</v>
      </c>
    </row>
    <row r="412" spans="1:2" ht="15" customHeight="1">
      <c r="A412" s="8">
        <f>Insurance!A305</f>
        <v>28</v>
      </c>
      <c r="B412" s="7">
        <f>Insurance!C305</f>
        <v>33</v>
      </c>
    </row>
    <row r="413" spans="1:2" ht="15" customHeight="1">
      <c r="A413" s="8">
        <f>Insurance!A306</f>
        <v>57</v>
      </c>
      <c r="B413" s="7">
        <f>Insurance!C306</f>
        <v>38</v>
      </c>
    </row>
    <row r="414" spans="1:2" ht="15" customHeight="1">
      <c r="A414" s="8">
        <f>Insurance!A307</f>
        <v>29</v>
      </c>
      <c r="B414" s="7">
        <f>Insurance!C307</f>
        <v>33.344999999999999</v>
      </c>
    </row>
    <row r="415" spans="1:2" ht="15" customHeight="1">
      <c r="A415" s="8">
        <f>Insurance!A308</f>
        <v>28</v>
      </c>
      <c r="B415" s="7">
        <f>Insurance!C308</f>
        <v>27.5</v>
      </c>
    </row>
    <row r="416" spans="1:2" ht="15" customHeight="1">
      <c r="A416" s="8">
        <f>Insurance!A309</f>
        <v>30</v>
      </c>
      <c r="B416" s="7">
        <f>Insurance!C309</f>
        <v>33.33</v>
      </c>
    </row>
    <row r="417" spans="1:2" ht="15" customHeight="1">
      <c r="A417" s="8">
        <f>Insurance!A310</f>
        <v>58</v>
      </c>
      <c r="B417" s="7">
        <f>Insurance!C310</f>
        <v>34.865000000000002</v>
      </c>
    </row>
    <row r="418" spans="1:2" ht="15" customHeight="1">
      <c r="A418" s="8">
        <f>Insurance!A311</f>
        <v>41</v>
      </c>
      <c r="B418" s="7">
        <f>Insurance!C311</f>
        <v>33.06</v>
      </c>
    </row>
    <row r="419" spans="1:2" ht="15" customHeight="1">
      <c r="A419" s="8">
        <f>Insurance!A312</f>
        <v>50</v>
      </c>
      <c r="B419" s="7">
        <f>Insurance!C312</f>
        <v>26.6</v>
      </c>
    </row>
    <row r="420" spans="1:2" ht="15" customHeight="1">
      <c r="A420" s="8">
        <f>Insurance!A313</f>
        <v>19</v>
      </c>
      <c r="B420" s="7">
        <f>Insurance!C313</f>
        <v>24.7</v>
      </c>
    </row>
    <row r="421" spans="1:2" ht="15" customHeight="1">
      <c r="A421" s="8">
        <f>Insurance!A314</f>
        <v>43</v>
      </c>
      <c r="B421" s="7">
        <f>Insurance!C314</f>
        <v>35.97</v>
      </c>
    </row>
    <row r="422" spans="1:2" ht="15" customHeight="1">
      <c r="A422" s="8">
        <f>Insurance!A315</f>
        <v>49</v>
      </c>
      <c r="B422" s="7">
        <f>Insurance!C315</f>
        <v>35.86</v>
      </c>
    </row>
    <row r="423" spans="1:2" ht="15" customHeight="1">
      <c r="A423" s="8">
        <f>Insurance!A316</f>
        <v>27</v>
      </c>
      <c r="B423" s="7">
        <f>Insurance!C316</f>
        <v>31.4</v>
      </c>
    </row>
    <row r="424" spans="1:2" ht="15" customHeight="1">
      <c r="A424" s="8">
        <f>Insurance!A317</f>
        <v>52</v>
      </c>
      <c r="B424" s="7">
        <f>Insurance!C317</f>
        <v>33.25</v>
      </c>
    </row>
    <row r="425" spans="1:2" ht="15" customHeight="1">
      <c r="A425" s="8">
        <f>Insurance!A318</f>
        <v>50</v>
      </c>
      <c r="B425" s="7">
        <f>Insurance!C318</f>
        <v>32.204999999999998</v>
      </c>
    </row>
    <row r="426" spans="1:2" ht="15" customHeight="1">
      <c r="A426" s="8">
        <f>Insurance!A319</f>
        <v>54</v>
      </c>
      <c r="B426" s="7">
        <f>Insurance!C319</f>
        <v>32.774999999999999</v>
      </c>
    </row>
    <row r="427" spans="1:2" ht="15" customHeight="1">
      <c r="A427" s="8">
        <f>Insurance!A320</f>
        <v>44</v>
      </c>
      <c r="B427" s="7">
        <f>Insurance!C320</f>
        <v>27.645</v>
      </c>
    </row>
    <row r="428" spans="1:2" ht="15" customHeight="1">
      <c r="A428" s="8">
        <f>Insurance!A321</f>
        <v>32</v>
      </c>
      <c r="B428" s="7">
        <f>Insurance!C321</f>
        <v>37.335000000000001</v>
      </c>
    </row>
    <row r="429" spans="1:2" ht="15" customHeight="1">
      <c r="A429" s="8">
        <f>Insurance!A322</f>
        <v>34</v>
      </c>
      <c r="B429" s="7">
        <f>Insurance!C322</f>
        <v>25.27</v>
      </c>
    </row>
    <row r="430" spans="1:2" ht="15" customHeight="1">
      <c r="A430" s="8">
        <f>Insurance!A323</f>
        <v>26</v>
      </c>
      <c r="B430" s="7">
        <f>Insurance!C323</f>
        <v>29.64</v>
      </c>
    </row>
    <row r="431" spans="1:2" ht="15" customHeight="1">
      <c r="A431" s="8">
        <f>Insurance!A324</f>
        <v>34</v>
      </c>
      <c r="B431" s="7">
        <f>Insurance!C324</f>
        <v>30.8</v>
      </c>
    </row>
    <row r="432" spans="1:2" ht="15" customHeight="1">
      <c r="A432" s="8">
        <f>Insurance!A325</f>
        <v>57</v>
      </c>
      <c r="B432" s="7">
        <f>Insurance!C325</f>
        <v>40.945</v>
      </c>
    </row>
    <row r="433" spans="1:2" ht="15" customHeight="1">
      <c r="A433" s="8">
        <f>Insurance!A326</f>
        <v>29</v>
      </c>
      <c r="B433" s="7">
        <f>Insurance!C326</f>
        <v>27.2</v>
      </c>
    </row>
    <row r="434" spans="1:2" ht="15" customHeight="1">
      <c r="A434" s="8">
        <f>Insurance!A327</f>
        <v>40</v>
      </c>
      <c r="B434" s="7">
        <f>Insurance!C327</f>
        <v>34.104999999999997</v>
      </c>
    </row>
    <row r="435" spans="1:2" ht="15" customHeight="1">
      <c r="A435" s="8">
        <f>Insurance!A328</f>
        <v>27</v>
      </c>
      <c r="B435" s="7">
        <f>Insurance!C328</f>
        <v>23.21</v>
      </c>
    </row>
    <row r="436" spans="1:2" ht="15" customHeight="1">
      <c r="A436" s="8">
        <f>Insurance!A329</f>
        <v>45</v>
      </c>
      <c r="B436" s="7">
        <f>Insurance!C329</f>
        <v>36.479999999999997</v>
      </c>
    </row>
    <row r="437" spans="1:2" ht="15" customHeight="1">
      <c r="A437" s="8">
        <f>Insurance!A330</f>
        <v>64</v>
      </c>
      <c r="B437" s="7">
        <f>Insurance!C330</f>
        <v>33.799999999999997</v>
      </c>
    </row>
    <row r="438" spans="1:2" ht="15" customHeight="1">
      <c r="A438" s="8">
        <f>Insurance!A331</f>
        <v>52</v>
      </c>
      <c r="B438" s="7">
        <f>Insurance!C331</f>
        <v>36.700000000000003</v>
      </c>
    </row>
    <row r="439" spans="1:2" ht="15" customHeight="1">
      <c r="A439" s="8">
        <f>Insurance!A332</f>
        <v>61</v>
      </c>
      <c r="B439" s="7">
        <f>Insurance!C332</f>
        <v>36.384999999999998</v>
      </c>
    </row>
    <row r="440" spans="1:2" ht="15" customHeight="1">
      <c r="A440" s="8">
        <f>Insurance!A333</f>
        <v>52</v>
      </c>
      <c r="B440" s="7">
        <f>Insurance!C333</f>
        <v>27.36</v>
      </c>
    </row>
    <row r="441" spans="1:2" ht="15" customHeight="1">
      <c r="A441" s="8">
        <f>Insurance!A334</f>
        <v>61</v>
      </c>
      <c r="B441" s="7">
        <f>Insurance!C334</f>
        <v>31.16</v>
      </c>
    </row>
    <row r="442" spans="1:2" ht="15" customHeight="1">
      <c r="A442" s="8">
        <f>Insurance!A335</f>
        <v>56</v>
      </c>
      <c r="B442" s="7">
        <f>Insurance!C335</f>
        <v>28.785</v>
      </c>
    </row>
    <row r="443" spans="1:2" ht="15" customHeight="1">
      <c r="A443" s="8">
        <f>Insurance!A336</f>
        <v>43</v>
      </c>
      <c r="B443" s="7">
        <f>Insurance!C336</f>
        <v>35.72</v>
      </c>
    </row>
    <row r="444" spans="1:2" ht="15" customHeight="1">
      <c r="A444" s="8">
        <f>Insurance!A337</f>
        <v>64</v>
      </c>
      <c r="B444" s="7">
        <f>Insurance!C337</f>
        <v>34.5</v>
      </c>
    </row>
    <row r="445" spans="1:2" ht="15" customHeight="1">
      <c r="A445" s="8">
        <f>Insurance!A338</f>
        <v>60</v>
      </c>
      <c r="B445" s="7">
        <f>Insurance!C338</f>
        <v>25.74</v>
      </c>
    </row>
    <row r="446" spans="1:2" ht="15" customHeight="1">
      <c r="A446" s="8">
        <f>Insurance!A339</f>
        <v>62</v>
      </c>
      <c r="B446" s="7">
        <f>Insurance!C339</f>
        <v>27.55</v>
      </c>
    </row>
    <row r="447" spans="1:2" ht="15" customHeight="1">
      <c r="A447" s="8">
        <f>Insurance!A340</f>
        <v>50</v>
      </c>
      <c r="B447" s="7">
        <f>Insurance!C340</f>
        <v>32.299999999999997</v>
      </c>
    </row>
    <row r="448" spans="1:2" ht="15" customHeight="1">
      <c r="A448" s="8">
        <f>Insurance!A341</f>
        <v>46</v>
      </c>
      <c r="B448" s="7">
        <f>Insurance!C341</f>
        <v>27.72</v>
      </c>
    </row>
    <row r="449" spans="1:2" ht="15" customHeight="1">
      <c r="A449" s="8">
        <f>Insurance!A342</f>
        <v>24</v>
      </c>
      <c r="B449" s="7">
        <f>Insurance!C342</f>
        <v>27.6</v>
      </c>
    </row>
    <row r="450" spans="1:2" ht="15" customHeight="1">
      <c r="A450" s="8">
        <f>Insurance!A343</f>
        <v>62</v>
      </c>
      <c r="B450" s="7">
        <f>Insurance!C343</f>
        <v>30.02</v>
      </c>
    </row>
    <row r="451" spans="1:2" ht="15" customHeight="1">
      <c r="A451" s="8">
        <f>Insurance!A344</f>
        <v>60</v>
      </c>
      <c r="B451" s="7">
        <f>Insurance!C344</f>
        <v>27.55</v>
      </c>
    </row>
    <row r="452" spans="1:2" ht="15" customHeight="1">
      <c r="A452" s="8">
        <f>Insurance!A345</f>
        <v>63</v>
      </c>
      <c r="B452" s="7">
        <f>Insurance!C345</f>
        <v>36.765000000000001</v>
      </c>
    </row>
    <row r="453" spans="1:2" ht="15" customHeight="1">
      <c r="A453" s="8">
        <f>Insurance!A346</f>
        <v>49</v>
      </c>
      <c r="B453" s="7">
        <f>Insurance!C346</f>
        <v>41.47</v>
      </c>
    </row>
    <row r="454" spans="1:2" ht="15" customHeight="1">
      <c r="A454" s="8">
        <f>Insurance!A347</f>
        <v>34</v>
      </c>
      <c r="B454" s="7">
        <f>Insurance!C347</f>
        <v>29.26</v>
      </c>
    </row>
    <row r="455" spans="1:2" ht="15" customHeight="1">
      <c r="A455" s="8">
        <f>Insurance!A348</f>
        <v>33</v>
      </c>
      <c r="B455" s="7">
        <f>Insurance!C348</f>
        <v>35.75</v>
      </c>
    </row>
    <row r="456" spans="1:2" ht="15" customHeight="1">
      <c r="A456" s="8">
        <f>Insurance!A349</f>
        <v>46</v>
      </c>
      <c r="B456" s="7">
        <f>Insurance!C349</f>
        <v>33.344999999999999</v>
      </c>
    </row>
    <row r="457" spans="1:2" ht="15" customHeight="1">
      <c r="A457" s="8">
        <f>Insurance!A350</f>
        <v>36</v>
      </c>
      <c r="B457" s="7">
        <f>Insurance!C350</f>
        <v>29.92</v>
      </c>
    </row>
    <row r="458" spans="1:2" ht="15" customHeight="1">
      <c r="A458" s="8">
        <f>Insurance!A351</f>
        <v>19</v>
      </c>
      <c r="B458" s="7">
        <f>Insurance!C351</f>
        <v>27.835000000000001</v>
      </c>
    </row>
    <row r="459" spans="1:2" ht="15" customHeight="1">
      <c r="A459" s="8">
        <f>Insurance!A352</f>
        <v>57</v>
      </c>
      <c r="B459" s="7">
        <f>Insurance!C352</f>
        <v>23.18</v>
      </c>
    </row>
    <row r="460" spans="1:2" ht="15" customHeight="1">
      <c r="A460" s="8">
        <f>Insurance!A353</f>
        <v>50</v>
      </c>
      <c r="B460" s="7">
        <f>Insurance!C353</f>
        <v>25.6</v>
      </c>
    </row>
    <row r="461" spans="1:2" ht="15" customHeight="1">
      <c r="A461" s="8">
        <f>Insurance!A354</f>
        <v>30</v>
      </c>
      <c r="B461" s="7">
        <f>Insurance!C354</f>
        <v>27.7</v>
      </c>
    </row>
    <row r="462" spans="1:2" ht="15" customHeight="1">
      <c r="A462" s="8">
        <f>Insurance!A355</f>
        <v>33</v>
      </c>
      <c r="B462" s="7">
        <f>Insurance!C355</f>
        <v>35.244999999999997</v>
      </c>
    </row>
    <row r="463" spans="1:2" ht="15" customHeight="1">
      <c r="A463" s="8">
        <f>Insurance!A356</f>
        <v>18</v>
      </c>
      <c r="B463" s="7">
        <f>Insurance!C356</f>
        <v>38.28</v>
      </c>
    </row>
    <row r="464" spans="1:2" ht="15" customHeight="1">
      <c r="A464" s="8">
        <f>Insurance!A357</f>
        <v>46</v>
      </c>
      <c r="B464" s="7">
        <f>Insurance!C357</f>
        <v>27.6</v>
      </c>
    </row>
    <row r="465" spans="1:2" ht="15" customHeight="1">
      <c r="A465" s="8">
        <f>Insurance!A358</f>
        <v>46</v>
      </c>
      <c r="B465" s="7">
        <f>Insurance!C358</f>
        <v>43.89</v>
      </c>
    </row>
    <row r="466" spans="1:2" ht="15" customHeight="1">
      <c r="A466" s="8">
        <f>Insurance!A359</f>
        <v>47</v>
      </c>
      <c r="B466" s="7">
        <f>Insurance!C359</f>
        <v>29.83</v>
      </c>
    </row>
    <row r="467" spans="1:2" ht="15" customHeight="1">
      <c r="A467" s="8">
        <f>Insurance!A360</f>
        <v>23</v>
      </c>
      <c r="B467" s="7">
        <f>Insurance!C360</f>
        <v>41.91</v>
      </c>
    </row>
    <row r="468" spans="1:2" ht="15" customHeight="1">
      <c r="A468" s="8">
        <f>Insurance!A361</f>
        <v>18</v>
      </c>
      <c r="B468" s="7">
        <f>Insurance!C361</f>
        <v>20.79</v>
      </c>
    </row>
    <row r="469" spans="1:2" ht="15" customHeight="1">
      <c r="A469" s="8">
        <f>Insurance!A362</f>
        <v>48</v>
      </c>
      <c r="B469" s="7">
        <f>Insurance!C362</f>
        <v>32.299999999999997</v>
      </c>
    </row>
    <row r="470" spans="1:2" ht="15" customHeight="1">
      <c r="A470" s="8">
        <f>Insurance!A363</f>
        <v>35</v>
      </c>
      <c r="B470" s="7">
        <f>Insurance!C363</f>
        <v>30.5</v>
      </c>
    </row>
    <row r="471" spans="1:2" ht="15" customHeight="1">
      <c r="A471" s="8">
        <f>Insurance!A364</f>
        <v>19</v>
      </c>
      <c r="B471" s="7">
        <f>Insurance!C364</f>
        <v>21.7</v>
      </c>
    </row>
    <row r="472" spans="1:2" ht="15" customHeight="1">
      <c r="A472" s="8">
        <f>Insurance!A365</f>
        <v>21</v>
      </c>
      <c r="B472" s="7">
        <f>Insurance!C365</f>
        <v>26.4</v>
      </c>
    </row>
    <row r="473" spans="1:2" ht="15" customHeight="1">
      <c r="A473" s="8">
        <f>Insurance!A366</f>
        <v>21</v>
      </c>
      <c r="B473" s="7">
        <f>Insurance!C366</f>
        <v>21.89</v>
      </c>
    </row>
    <row r="474" spans="1:2" ht="15" customHeight="1">
      <c r="A474" s="8">
        <f>Insurance!A367</f>
        <v>49</v>
      </c>
      <c r="B474" s="7">
        <f>Insurance!C367</f>
        <v>30.78</v>
      </c>
    </row>
    <row r="475" spans="1:2" ht="15" customHeight="1">
      <c r="A475" s="8">
        <f>Insurance!A368</f>
        <v>56</v>
      </c>
      <c r="B475" s="7">
        <f>Insurance!C368</f>
        <v>32.299999999999997</v>
      </c>
    </row>
    <row r="476" spans="1:2" ht="15" customHeight="1">
      <c r="A476" s="8">
        <f>Insurance!A369</f>
        <v>42</v>
      </c>
      <c r="B476" s="7">
        <f>Insurance!C369</f>
        <v>24.984999999999999</v>
      </c>
    </row>
    <row r="477" spans="1:2" ht="15" customHeight="1">
      <c r="A477" s="8">
        <f>Insurance!A370</f>
        <v>44</v>
      </c>
      <c r="B477" s="7">
        <f>Insurance!C370</f>
        <v>32.015000000000001</v>
      </c>
    </row>
    <row r="478" spans="1:2" ht="15" customHeight="1">
      <c r="A478" s="8">
        <f>Insurance!A371</f>
        <v>18</v>
      </c>
      <c r="B478" s="7">
        <f>Insurance!C371</f>
        <v>30.4</v>
      </c>
    </row>
    <row r="479" spans="1:2" ht="15" customHeight="1">
      <c r="A479" s="8">
        <f>Insurance!A372</f>
        <v>61</v>
      </c>
      <c r="B479" s="7">
        <f>Insurance!C372</f>
        <v>21.09</v>
      </c>
    </row>
    <row r="480" spans="1:2" ht="15" customHeight="1">
      <c r="A480" s="8">
        <f>Insurance!A373</f>
        <v>57</v>
      </c>
      <c r="B480" s="7">
        <f>Insurance!C373</f>
        <v>22.23</v>
      </c>
    </row>
    <row r="481" spans="1:2" ht="15" customHeight="1">
      <c r="A481" s="8">
        <f>Insurance!A374</f>
        <v>42</v>
      </c>
      <c r="B481" s="7">
        <f>Insurance!C374</f>
        <v>33.155000000000001</v>
      </c>
    </row>
    <row r="482" spans="1:2" ht="15" customHeight="1">
      <c r="A482" s="8">
        <f>Insurance!A375</f>
        <v>26</v>
      </c>
      <c r="B482" s="7">
        <f>Insurance!C375</f>
        <v>32.9</v>
      </c>
    </row>
    <row r="483" spans="1:2" ht="15" customHeight="1">
      <c r="A483" s="8">
        <f>Insurance!A376</f>
        <v>20</v>
      </c>
      <c r="B483" s="7">
        <f>Insurance!C376</f>
        <v>33.33</v>
      </c>
    </row>
    <row r="484" spans="1:2" ht="15" customHeight="1">
      <c r="A484" s="8">
        <f>Insurance!A377</f>
        <v>23</v>
      </c>
      <c r="B484" s="7">
        <f>Insurance!C377</f>
        <v>28.31</v>
      </c>
    </row>
    <row r="485" spans="1:2" ht="15" customHeight="1">
      <c r="A485" s="8">
        <f>Insurance!A378</f>
        <v>39</v>
      </c>
      <c r="B485" s="7">
        <f>Insurance!C378</f>
        <v>24.89</v>
      </c>
    </row>
    <row r="486" spans="1:2" ht="15" customHeight="1">
      <c r="A486" s="8">
        <f>Insurance!A379</f>
        <v>24</v>
      </c>
      <c r="B486" s="7">
        <f>Insurance!C379</f>
        <v>40.15</v>
      </c>
    </row>
    <row r="487" spans="1:2" ht="15" customHeight="1">
      <c r="A487" s="8">
        <f>Insurance!A380</f>
        <v>64</v>
      </c>
      <c r="B487" s="7">
        <f>Insurance!C380</f>
        <v>30.114999999999998</v>
      </c>
    </row>
    <row r="488" spans="1:2" ht="15" customHeight="1">
      <c r="A488" s="8">
        <f>Insurance!A381</f>
        <v>62</v>
      </c>
      <c r="B488" s="7">
        <f>Insurance!C381</f>
        <v>31.46</v>
      </c>
    </row>
    <row r="489" spans="1:2" ht="15" customHeight="1">
      <c r="A489" s="8">
        <f>Insurance!A382</f>
        <v>27</v>
      </c>
      <c r="B489" s="7">
        <f>Insurance!C382</f>
        <v>17.954999999999998</v>
      </c>
    </row>
    <row r="490" spans="1:2" ht="15" customHeight="1">
      <c r="A490" s="8">
        <f>Insurance!A383</f>
        <v>55</v>
      </c>
      <c r="B490" s="7">
        <f>Insurance!C383</f>
        <v>30.684999999999999</v>
      </c>
    </row>
    <row r="491" spans="1:2" ht="15" customHeight="1">
      <c r="A491" s="8">
        <f>Insurance!A384</f>
        <v>55</v>
      </c>
      <c r="B491" s="7">
        <f>Insurance!C384</f>
        <v>33</v>
      </c>
    </row>
    <row r="492" spans="1:2" ht="15" customHeight="1">
      <c r="A492" s="8">
        <f>Insurance!A385</f>
        <v>35</v>
      </c>
      <c r="B492" s="7">
        <f>Insurance!C385</f>
        <v>43.34</v>
      </c>
    </row>
    <row r="493" spans="1:2" ht="15" customHeight="1">
      <c r="A493" s="8">
        <f>Insurance!A386</f>
        <v>44</v>
      </c>
      <c r="B493" s="7">
        <f>Insurance!C386</f>
        <v>22.135000000000002</v>
      </c>
    </row>
    <row r="494" spans="1:2" ht="15" customHeight="1">
      <c r="A494" s="8">
        <f>Insurance!A387</f>
        <v>19</v>
      </c>
      <c r="B494" s="7">
        <f>Insurance!C387</f>
        <v>34.4</v>
      </c>
    </row>
    <row r="495" spans="1:2" ht="15" customHeight="1">
      <c r="A495" s="8">
        <f>Insurance!A388</f>
        <v>58</v>
      </c>
      <c r="B495" s="7">
        <f>Insurance!C388</f>
        <v>39.049999999999997</v>
      </c>
    </row>
    <row r="496" spans="1:2" ht="15" customHeight="1">
      <c r="A496" s="8">
        <f>Insurance!A389</f>
        <v>50</v>
      </c>
      <c r="B496" s="7">
        <f>Insurance!C389</f>
        <v>25.364999999999998</v>
      </c>
    </row>
    <row r="497" spans="1:2" ht="15" customHeight="1">
      <c r="A497" s="8">
        <f>Insurance!A390</f>
        <v>26</v>
      </c>
      <c r="B497" s="7">
        <f>Insurance!C390</f>
        <v>22.61</v>
      </c>
    </row>
    <row r="498" spans="1:2" ht="15" customHeight="1">
      <c r="A498" s="8">
        <f>Insurance!A391</f>
        <v>24</v>
      </c>
      <c r="B498" s="7">
        <f>Insurance!C391</f>
        <v>30.21</v>
      </c>
    </row>
    <row r="499" spans="1:2" ht="15" customHeight="1">
      <c r="A499" s="8">
        <f>Insurance!A392</f>
        <v>48</v>
      </c>
      <c r="B499" s="7">
        <f>Insurance!C392</f>
        <v>35.625</v>
      </c>
    </row>
    <row r="500" spans="1:2" ht="15" customHeight="1">
      <c r="A500" s="8">
        <f>Insurance!A393</f>
        <v>19</v>
      </c>
      <c r="B500" s="7">
        <f>Insurance!C393</f>
        <v>37.43</v>
      </c>
    </row>
    <row r="501" spans="1:2" ht="15" customHeight="1">
      <c r="A501" s="8">
        <f>Insurance!A394</f>
        <v>48</v>
      </c>
      <c r="B501" s="7">
        <f>Insurance!C394</f>
        <v>31.445</v>
      </c>
    </row>
    <row r="502" spans="1:2" ht="15" customHeight="1">
      <c r="A502" s="8">
        <f>Insurance!A395</f>
        <v>49</v>
      </c>
      <c r="B502" s="7">
        <f>Insurance!C395</f>
        <v>31.35</v>
      </c>
    </row>
    <row r="503" spans="1:2" ht="15" customHeight="1">
      <c r="A503" s="8">
        <f>Insurance!A396</f>
        <v>46</v>
      </c>
      <c r="B503" s="7">
        <f>Insurance!C396</f>
        <v>32.299999999999997</v>
      </c>
    </row>
    <row r="504" spans="1:2" ht="15" customHeight="1">
      <c r="A504" s="8">
        <f>Insurance!A397</f>
        <v>46</v>
      </c>
      <c r="B504" s="7">
        <f>Insurance!C397</f>
        <v>19.855</v>
      </c>
    </row>
    <row r="505" spans="1:2" ht="15" customHeight="1">
      <c r="A505" s="8">
        <f>Insurance!A398</f>
        <v>43</v>
      </c>
      <c r="B505" s="7">
        <f>Insurance!C398</f>
        <v>34.4</v>
      </c>
    </row>
    <row r="506" spans="1:2" ht="15" customHeight="1">
      <c r="A506" s="8">
        <f>Insurance!A399</f>
        <v>21</v>
      </c>
      <c r="B506" s="7">
        <f>Insurance!C399</f>
        <v>31.02</v>
      </c>
    </row>
    <row r="507" spans="1:2" ht="15" customHeight="1">
      <c r="A507" s="8">
        <f>Insurance!A400</f>
        <v>64</v>
      </c>
      <c r="B507" s="7">
        <f>Insurance!C400</f>
        <v>25.6</v>
      </c>
    </row>
    <row r="508" spans="1:2" ht="15" customHeight="1">
      <c r="A508" s="8">
        <f>Insurance!A401</f>
        <v>18</v>
      </c>
      <c r="B508" s="7">
        <f>Insurance!C401</f>
        <v>38.17</v>
      </c>
    </row>
    <row r="509" spans="1:2" ht="15" customHeight="1">
      <c r="A509" s="8">
        <f>Insurance!A402</f>
        <v>51</v>
      </c>
      <c r="B509" s="7">
        <f>Insurance!C402</f>
        <v>20.6</v>
      </c>
    </row>
    <row r="510" spans="1:2" ht="15" customHeight="1">
      <c r="A510" s="8">
        <f>Insurance!A403</f>
        <v>47</v>
      </c>
      <c r="B510" s="7">
        <f>Insurance!C403</f>
        <v>47.52</v>
      </c>
    </row>
    <row r="511" spans="1:2" ht="15" customHeight="1">
      <c r="A511" s="8">
        <f>Insurance!A404</f>
        <v>64</v>
      </c>
      <c r="B511" s="7">
        <f>Insurance!C404</f>
        <v>32.965000000000003</v>
      </c>
    </row>
    <row r="512" spans="1:2" ht="15" customHeight="1">
      <c r="A512" s="8">
        <f>Insurance!A405</f>
        <v>49</v>
      </c>
      <c r="B512" s="7">
        <f>Insurance!C405</f>
        <v>32.299999999999997</v>
      </c>
    </row>
    <row r="513" spans="1:2" ht="15" customHeight="1">
      <c r="A513" s="8">
        <f>Insurance!A406</f>
        <v>31</v>
      </c>
      <c r="B513" s="7">
        <f>Insurance!C406</f>
        <v>20.399999999999999</v>
      </c>
    </row>
    <row r="514" spans="1:2" ht="15" customHeight="1">
      <c r="A514" s="8">
        <f>Insurance!A407</f>
        <v>52</v>
      </c>
      <c r="B514" s="7">
        <f>Insurance!C407</f>
        <v>38.380000000000003</v>
      </c>
    </row>
    <row r="515" spans="1:2" ht="15" customHeight="1">
      <c r="A515" s="8">
        <f>Insurance!A408</f>
        <v>33</v>
      </c>
      <c r="B515" s="7">
        <f>Insurance!C408</f>
        <v>24.31</v>
      </c>
    </row>
    <row r="516" spans="1:2" ht="15" customHeight="1">
      <c r="A516" s="8">
        <f>Insurance!A409</f>
        <v>47</v>
      </c>
      <c r="B516" s="7">
        <f>Insurance!C409</f>
        <v>23.6</v>
      </c>
    </row>
    <row r="517" spans="1:2" ht="15" customHeight="1">
      <c r="A517" s="8">
        <f>Insurance!A410</f>
        <v>38</v>
      </c>
      <c r="B517" s="7">
        <f>Insurance!C410</f>
        <v>21.12</v>
      </c>
    </row>
    <row r="518" spans="1:2" ht="15" customHeight="1">
      <c r="A518" s="8">
        <f>Insurance!A411</f>
        <v>32</v>
      </c>
      <c r="B518" s="7">
        <f>Insurance!C411</f>
        <v>30.03</v>
      </c>
    </row>
    <row r="519" spans="1:2" ht="15" customHeight="1">
      <c r="A519" s="8">
        <f>Insurance!A412</f>
        <v>19</v>
      </c>
      <c r="B519" s="7">
        <f>Insurance!C412</f>
        <v>17.48</v>
      </c>
    </row>
    <row r="520" spans="1:2" ht="15" customHeight="1">
      <c r="A520" s="8">
        <f>Insurance!A413</f>
        <v>44</v>
      </c>
      <c r="B520" s="7">
        <f>Insurance!C413</f>
        <v>20.234999999999999</v>
      </c>
    </row>
    <row r="521" spans="1:2" ht="15" customHeight="1">
      <c r="A521" s="8">
        <f>Insurance!A414</f>
        <v>26</v>
      </c>
      <c r="B521" s="7">
        <f>Insurance!C414</f>
        <v>17.195</v>
      </c>
    </row>
    <row r="522" spans="1:2" ht="15" customHeight="1">
      <c r="A522" s="8">
        <f>Insurance!A415</f>
        <v>25</v>
      </c>
      <c r="B522" s="7">
        <f>Insurance!C415</f>
        <v>23.9</v>
      </c>
    </row>
    <row r="523" spans="1:2" ht="15" customHeight="1">
      <c r="A523" s="8">
        <f>Insurance!A416</f>
        <v>19</v>
      </c>
      <c r="B523" s="7">
        <f>Insurance!C416</f>
        <v>35.15</v>
      </c>
    </row>
    <row r="524" spans="1:2" ht="15" customHeight="1">
      <c r="A524" s="8">
        <f>Insurance!A417</f>
        <v>43</v>
      </c>
      <c r="B524" s="7">
        <f>Insurance!C417</f>
        <v>35.64</v>
      </c>
    </row>
    <row r="525" spans="1:2" ht="15" customHeight="1">
      <c r="A525" s="8">
        <f>Insurance!A418</f>
        <v>52</v>
      </c>
      <c r="B525" s="7">
        <f>Insurance!C418</f>
        <v>34.1</v>
      </c>
    </row>
    <row r="526" spans="1:2" ht="15" customHeight="1">
      <c r="A526" s="8">
        <f>Insurance!A419</f>
        <v>36</v>
      </c>
      <c r="B526" s="7">
        <f>Insurance!C419</f>
        <v>22.6</v>
      </c>
    </row>
    <row r="527" spans="1:2" ht="15" customHeight="1">
      <c r="A527" s="8">
        <f>Insurance!A420</f>
        <v>64</v>
      </c>
      <c r="B527" s="7">
        <f>Insurance!C420</f>
        <v>39.159999999999997</v>
      </c>
    </row>
    <row r="528" spans="1:2" ht="15" customHeight="1">
      <c r="A528" s="8">
        <f>Insurance!A421</f>
        <v>63</v>
      </c>
      <c r="B528" s="7">
        <f>Insurance!C421</f>
        <v>26.98</v>
      </c>
    </row>
    <row r="529" spans="1:2" ht="15" customHeight="1">
      <c r="A529" s="8">
        <f>Insurance!A422</f>
        <v>64</v>
      </c>
      <c r="B529" s="7">
        <f>Insurance!C422</f>
        <v>33.880000000000003</v>
      </c>
    </row>
    <row r="530" spans="1:2" ht="15" customHeight="1">
      <c r="A530" s="8">
        <f>Insurance!A423</f>
        <v>61</v>
      </c>
      <c r="B530" s="7">
        <f>Insurance!C423</f>
        <v>35.86</v>
      </c>
    </row>
    <row r="531" spans="1:2" ht="15" customHeight="1">
      <c r="A531" s="8">
        <f>Insurance!A424</f>
        <v>40</v>
      </c>
      <c r="B531" s="7">
        <f>Insurance!C424</f>
        <v>32.774999999999999</v>
      </c>
    </row>
    <row r="532" spans="1:2" ht="15" customHeight="1">
      <c r="A532" s="8">
        <f>Insurance!A425</f>
        <v>25</v>
      </c>
      <c r="B532" s="7">
        <f>Insurance!C425</f>
        <v>30.59</v>
      </c>
    </row>
    <row r="533" spans="1:2" ht="15" customHeight="1">
      <c r="A533" s="8">
        <f>Insurance!A426</f>
        <v>48</v>
      </c>
      <c r="B533" s="7">
        <f>Insurance!C426</f>
        <v>30.2</v>
      </c>
    </row>
    <row r="534" spans="1:2" ht="15" customHeight="1">
      <c r="A534" s="8">
        <f>Insurance!A427</f>
        <v>45</v>
      </c>
      <c r="B534" s="7">
        <f>Insurance!C427</f>
        <v>24.31</v>
      </c>
    </row>
    <row r="535" spans="1:2" ht="15" customHeight="1">
      <c r="A535" s="8">
        <f>Insurance!A428</f>
        <v>38</v>
      </c>
      <c r="B535" s="7">
        <f>Insurance!C428</f>
        <v>27.265000000000001</v>
      </c>
    </row>
    <row r="536" spans="1:2" ht="15" customHeight="1">
      <c r="A536" s="8">
        <f>Insurance!A429</f>
        <v>18</v>
      </c>
      <c r="B536" s="7">
        <f>Insurance!C429</f>
        <v>29.164999999999999</v>
      </c>
    </row>
    <row r="537" spans="1:2" ht="15" customHeight="1">
      <c r="A537" s="8">
        <f>Insurance!A430</f>
        <v>21</v>
      </c>
      <c r="B537" s="7">
        <f>Insurance!C430</f>
        <v>16.815000000000001</v>
      </c>
    </row>
    <row r="538" spans="1:2" ht="15" customHeight="1">
      <c r="A538" s="8">
        <f>Insurance!A431</f>
        <v>27</v>
      </c>
      <c r="B538" s="7">
        <f>Insurance!C431</f>
        <v>30.4</v>
      </c>
    </row>
    <row r="539" spans="1:2" ht="15" customHeight="1">
      <c r="A539" s="8">
        <f>Insurance!A432</f>
        <v>19</v>
      </c>
      <c r="B539" s="7">
        <f>Insurance!C432</f>
        <v>33.1</v>
      </c>
    </row>
    <row r="540" spans="1:2" ht="15" customHeight="1">
      <c r="A540" s="8">
        <f>Insurance!A433</f>
        <v>29</v>
      </c>
      <c r="B540" s="7">
        <f>Insurance!C433</f>
        <v>20.234999999999999</v>
      </c>
    </row>
    <row r="541" spans="1:2" ht="15" customHeight="1">
      <c r="A541" s="8">
        <f>Insurance!A434</f>
        <v>42</v>
      </c>
      <c r="B541" s="7">
        <f>Insurance!C434</f>
        <v>26.9</v>
      </c>
    </row>
    <row r="542" spans="1:2" ht="15" customHeight="1">
      <c r="A542" s="8">
        <f>Insurance!A435</f>
        <v>60</v>
      </c>
      <c r="B542" s="7">
        <f>Insurance!C435</f>
        <v>30.5</v>
      </c>
    </row>
    <row r="543" spans="1:2" ht="15" customHeight="1">
      <c r="A543" s="8">
        <f>Insurance!A436</f>
        <v>31</v>
      </c>
      <c r="B543" s="7">
        <f>Insurance!C436</f>
        <v>28.594999999999999</v>
      </c>
    </row>
    <row r="544" spans="1:2" ht="15" customHeight="1">
      <c r="A544" s="8">
        <f>Insurance!A437</f>
        <v>60</v>
      </c>
      <c r="B544" s="7">
        <f>Insurance!C437</f>
        <v>33.11</v>
      </c>
    </row>
    <row r="545" spans="1:2" ht="15" customHeight="1">
      <c r="A545" s="8">
        <f>Insurance!A438</f>
        <v>22</v>
      </c>
      <c r="B545" s="7">
        <f>Insurance!C438</f>
        <v>31.73</v>
      </c>
    </row>
    <row r="546" spans="1:2" ht="15" customHeight="1">
      <c r="A546" s="8">
        <f>Insurance!A439</f>
        <v>35</v>
      </c>
      <c r="B546" s="7">
        <f>Insurance!C439</f>
        <v>28.9</v>
      </c>
    </row>
    <row r="547" spans="1:2" ht="15" customHeight="1">
      <c r="A547" s="8">
        <f>Insurance!A440</f>
        <v>52</v>
      </c>
      <c r="B547" s="7">
        <f>Insurance!C440</f>
        <v>46.75</v>
      </c>
    </row>
    <row r="548" spans="1:2" ht="15" customHeight="1">
      <c r="A548" s="8">
        <f>Insurance!A441</f>
        <v>26</v>
      </c>
      <c r="B548" s="7">
        <f>Insurance!C441</f>
        <v>29.45</v>
      </c>
    </row>
    <row r="549" spans="1:2" ht="15" customHeight="1">
      <c r="A549" s="8">
        <f>Insurance!A442</f>
        <v>31</v>
      </c>
      <c r="B549" s="7">
        <f>Insurance!C442</f>
        <v>32.68</v>
      </c>
    </row>
    <row r="550" spans="1:2" ht="15" customHeight="1">
      <c r="A550" s="8">
        <f>Insurance!A443</f>
        <v>33</v>
      </c>
      <c r="B550" s="7">
        <f>Insurance!C443</f>
        <v>33.5</v>
      </c>
    </row>
    <row r="551" spans="1:2" ht="15" customHeight="1">
      <c r="A551" s="8">
        <f>Insurance!A444</f>
        <v>18</v>
      </c>
      <c r="B551" s="7">
        <f>Insurance!C444</f>
        <v>43.01</v>
      </c>
    </row>
    <row r="552" spans="1:2" ht="15" customHeight="1">
      <c r="A552" s="8">
        <f>Insurance!A445</f>
        <v>59</v>
      </c>
      <c r="B552" s="7">
        <f>Insurance!C445</f>
        <v>36.520000000000003</v>
      </c>
    </row>
    <row r="553" spans="1:2" ht="15" customHeight="1">
      <c r="A553" s="8">
        <f>Insurance!A446</f>
        <v>56</v>
      </c>
      <c r="B553" s="7">
        <f>Insurance!C446</f>
        <v>26.695</v>
      </c>
    </row>
    <row r="554" spans="1:2" ht="15" customHeight="1">
      <c r="A554" s="8">
        <f>Insurance!A447</f>
        <v>45</v>
      </c>
      <c r="B554" s="7">
        <f>Insurance!C447</f>
        <v>33.1</v>
      </c>
    </row>
    <row r="555" spans="1:2" ht="15" customHeight="1">
      <c r="A555" s="8">
        <f>Insurance!A448</f>
        <v>60</v>
      </c>
      <c r="B555" s="7">
        <f>Insurance!C448</f>
        <v>29.64</v>
      </c>
    </row>
    <row r="556" spans="1:2" ht="15" customHeight="1">
      <c r="A556" s="8">
        <f>Insurance!A449</f>
        <v>56</v>
      </c>
      <c r="B556" s="7">
        <f>Insurance!C449</f>
        <v>25.65</v>
      </c>
    </row>
    <row r="557" spans="1:2" ht="15" customHeight="1">
      <c r="A557" s="8">
        <f>Insurance!A450</f>
        <v>40</v>
      </c>
      <c r="B557" s="7">
        <f>Insurance!C450</f>
        <v>29.6</v>
      </c>
    </row>
    <row r="558" spans="1:2" ht="15" customHeight="1">
      <c r="A558" s="8">
        <f>Insurance!A451</f>
        <v>35</v>
      </c>
      <c r="B558" s="7">
        <f>Insurance!C451</f>
        <v>38.6</v>
      </c>
    </row>
    <row r="559" spans="1:2" ht="15" customHeight="1">
      <c r="A559" s="8">
        <f>Insurance!A452</f>
        <v>39</v>
      </c>
      <c r="B559" s="7">
        <f>Insurance!C452</f>
        <v>29.6</v>
      </c>
    </row>
    <row r="560" spans="1:2" ht="15" customHeight="1">
      <c r="A560" s="8">
        <f>Insurance!A453</f>
        <v>30</v>
      </c>
      <c r="B560" s="7">
        <f>Insurance!C453</f>
        <v>24.13</v>
      </c>
    </row>
    <row r="561" spans="1:2" ht="15" customHeight="1">
      <c r="A561" s="8">
        <f>Insurance!A454</f>
        <v>24</v>
      </c>
      <c r="B561" s="7">
        <f>Insurance!C454</f>
        <v>23.4</v>
      </c>
    </row>
    <row r="562" spans="1:2" ht="15" customHeight="1">
      <c r="A562" s="8">
        <f>Insurance!A455</f>
        <v>20</v>
      </c>
      <c r="B562" s="7">
        <f>Insurance!C455</f>
        <v>29.734999999999999</v>
      </c>
    </row>
    <row r="563" spans="1:2" ht="15" customHeight="1">
      <c r="A563" s="8">
        <f>Insurance!A456</f>
        <v>32</v>
      </c>
      <c r="B563" s="7">
        <f>Insurance!C456</f>
        <v>46.53</v>
      </c>
    </row>
    <row r="564" spans="1:2" ht="15" customHeight="1">
      <c r="A564" s="8">
        <f>Insurance!A457</f>
        <v>59</v>
      </c>
      <c r="B564" s="7">
        <f>Insurance!C457</f>
        <v>37.4</v>
      </c>
    </row>
    <row r="565" spans="1:2" ht="15" customHeight="1">
      <c r="A565" s="8">
        <f>Insurance!A458</f>
        <v>55</v>
      </c>
      <c r="B565" s="7">
        <f>Insurance!C458</f>
        <v>30.14</v>
      </c>
    </row>
    <row r="566" spans="1:2" ht="15" customHeight="1">
      <c r="A566" s="8">
        <f>Insurance!A459</f>
        <v>57</v>
      </c>
      <c r="B566" s="7">
        <f>Insurance!C459</f>
        <v>30.495000000000001</v>
      </c>
    </row>
    <row r="567" spans="1:2" ht="15" customHeight="1">
      <c r="A567" s="8">
        <f>Insurance!A460</f>
        <v>56</v>
      </c>
      <c r="B567" s="7">
        <f>Insurance!C460</f>
        <v>39.6</v>
      </c>
    </row>
    <row r="568" spans="1:2" ht="15" customHeight="1">
      <c r="A568" s="8">
        <f>Insurance!A461</f>
        <v>40</v>
      </c>
      <c r="B568" s="7">
        <f>Insurance!C461</f>
        <v>33</v>
      </c>
    </row>
    <row r="569" spans="1:2" ht="15" customHeight="1">
      <c r="A569" s="8">
        <f>Insurance!A462</f>
        <v>49</v>
      </c>
      <c r="B569" s="7">
        <f>Insurance!C462</f>
        <v>36.630000000000003</v>
      </c>
    </row>
    <row r="570" spans="1:2" ht="15" customHeight="1">
      <c r="A570" s="8">
        <f>Insurance!A463</f>
        <v>42</v>
      </c>
      <c r="B570" s="7">
        <f>Insurance!C463</f>
        <v>30</v>
      </c>
    </row>
    <row r="571" spans="1:2" ht="15" customHeight="1">
      <c r="A571" s="8">
        <f>Insurance!A464</f>
        <v>62</v>
      </c>
      <c r="B571" s="7">
        <f>Insurance!C464</f>
        <v>38.094999999999999</v>
      </c>
    </row>
    <row r="572" spans="1:2" ht="15" customHeight="1">
      <c r="A572" s="8">
        <f>Insurance!A465</f>
        <v>56</v>
      </c>
      <c r="B572" s="7">
        <f>Insurance!C465</f>
        <v>25.934999999999999</v>
      </c>
    </row>
    <row r="573" spans="1:2" ht="15" customHeight="1">
      <c r="A573" s="8">
        <f>Insurance!A466</f>
        <v>19</v>
      </c>
      <c r="B573" s="7">
        <f>Insurance!C466</f>
        <v>25.175000000000001</v>
      </c>
    </row>
    <row r="574" spans="1:2" ht="15" customHeight="1">
      <c r="A574" s="8">
        <f>Insurance!A467</f>
        <v>30</v>
      </c>
      <c r="B574" s="7">
        <f>Insurance!C467</f>
        <v>28.38</v>
      </c>
    </row>
    <row r="575" spans="1:2" ht="15" customHeight="1">
      <c r="A575" s="8">
        <f>Insurance!A468</f>
        <v>60</v>
      </c>
      <c r="B575" s="7">
        <f>Insurance!C468</f>
        <v>28.7</v>
      </c>
    </row>
    <row r="576" spans="1:2" ht="15" customHeight="1">
      <c r="A576" s="8">
        <f>Insurance!A469</f>
        <v>56</v>
      </c>
      <c r="B576" s="7">
        <f>Insurance!C469</f>
        <v>33.82</v>
      </c>
    </row>
    <row r="577" spans="1:2" ht="15" customHeight="1">
      <c r="A577" s="8">
        <f>Insurance!A470</f>
        <v>28</v>
      </c>
      <c r="B577" s="7">
        <f>Insurance!C470</f>
        <v>24.32</v>
      </c>
    </row>
    <row r="578" spans="1:2" ht="15" customHeight="1">
      <c r="A578" s="8">
        <f>Insurance!A471</f>
        <v>18</v>
      </c>
      <c r="B578" s="7">
        <f>Insurance!C471</f>
        <v>24.09</v>
      </c>
    </row>
    <row r="579" spans="1:2" ht="15" customHeight="1">
      <c r="A579" s="8">
        <f>Insurance!A472</f>
        <v>27</v>
      </c>
      <c r="B579" s="7">
        <f>Insurance!C472</f>
        <v>32.67</v>
      </c>
    </row>
    <row r="580" spans="1:2" ht="15" customHeight="1">
      <c r="A580" s="8">
        <f>Insurance!A473</f>
        <v>18</v>
      </c>
      <c r="B580" s="7">
        <f>Insurance!C473</f>
        <v>30.114999999999998</v>
      </c>
    </row>
    <row r="581" spans="1:2" ht="15" customHeight="1">
      <c r="A581" s="8">
        <f>Insurance!A474</f>
        <v>19</v>
      </c>
      <c r="B581" s="7">
        <f>Insurance!C474</f>
        <v>29.8</v>
      </c>
    </row>
    <row r="582" spans="1:2" ht="15" customHeight="1">
      <c r="A582" s="8">
        <f>Insurance!A475</f>
        <v>47</v>
      </c>
      <c r="B582" s="7">
        <f>Insurance!C475</f>
        <v>33.344999999999999</v>
      </c>
    </row>
    <row r="583" spans="1:2" ht="15" customHeight="1">
      <c r="A583" s="8">
        <f>Insurance!A476</f>
        <v>54</v>
      </c>
      <c r="B583" s="7">
        <f>Insurance!C476</f>
        <v>25.1</v>
      </c>
    </row>
    <row r="584" spans="1:2" ht="15" customHeight="1">
      <c r="A584" s="8">
        <f>Insurance!A477</f>
        <v>61</v>
      </c>
      <c r="B584" s="7">
        <f>Insurance!C477</f>
        <v>28.31</v>
      </c>
    </row>
    <row r="585" spans="1:2" ht="15" customHeight="1">
      <c r="A585" s="8">
        <f>Insurance!A478</f>
        <v>24</v>
      </c>
      <c r="B585" s="7">
        <f>Insurance!C478</f>
        <v>28.5</v>
      </c>
    </row>
    <row r="586" spans="1:2" ht="15" customHeight="1">
      <c r="A586" s="8">
        <f>Insurance!A479</f>
        <v>25</v>
      </c>
      <c r="B586" s="7">
        <f>Insurance!C479</f>
        <v>35.625</v>
      </c>
    </row>
    <row r="587" spans="1:2" ht="15" customHeight="1">
      <c r="A587" s="8">
        <f>Insurance!A480</f>
        <v>21</v>
      </c>
      <c r="B587" s="7">
        <f>Insurance!C480</f>
        <v>36.85</v>
      </c>
    </row>
    <row r="588" spans="1:2" ht="15" customHeight="1">
      <c r="A588" s="8">
        <f>Insurance!A481</f>
        <v>23</v>
      </c>
      <c r="B588" s="7">
        <f>Insurance!C481</f>
        <v>32.56</v>
      </c>
    </row>
    <row r="589" spans="1:2" ht="15" customHeight="1">
      <c r="A589" s="8">
        <f>Insurance!A482</f>
        <v>63</v>
      </c>
      <c r="B589" s="7">
        <f>Insurance!C482</f>
        <v>41.325000000000003</v>
      </c>
    </row>
    <row r="590" spans="1:2" ht="15" customHeight="1">
      <c r="A590" s="8">
        <f>Insurance!A483</f>
        <v>49</v>
      </c>
      <c r="B590" s="7">
        <f>Insurance!C483</f>
        <v>37.51</v>
      </c>
    </row>
    <row r="591" spans="1:2" ht="15" customHeight="1">
      <c r="A591" s="8">
        <f>Insurance!A484</f>
        <v>18</v>
      </c>
      <c r="B591" s="7">
        <f>Insurance!C484</f>
        <v>31.35</v>
      </c>
    </row>
    <row r="592" spans="1:2" ht="15" customHeight="1">
      <c r="A592" s="8">
        <f>Insurance!A485</f>
        <v>51</v>
      </c>
      <c r="B592" s="7">
        <f>Insurance!C485</f>
        <v>39.5</v>
      </c>
    </row>
    <row r="593" spans="1:2" ht="15" customHeight="1">
      <c r="A593" s="8">
        <f>Insurance!A486</f>
        <v>48</v>
      </c>
      <c r="B593" s="7">
        <f>Insurance!C486</f>
        <v>34.299999999999997</v>
      </c>
    </row>
    <row r="594" spans="1:2" ht="15" customHeight="1">
      <c r="A594" s="8">
        <f>Insurance!A487</f>
        <v>31</v>
      </c>
      <c r="B594" s="7">
        <f>Insurance!C487</f>
        <v>31.065000000000001</v>
      </c>
    </row>
    <row r="595" spans="1:2" ht="15" customHeight="1">
      <c r="A595" s="8">
        <f>Insurance!A488</f>
        <v>54</v>
      </c>
      <c r="B595" s="7">
        <f>Insurance!C488</f>
        <v>21.47</v>
      </c>
    </row>
    <row r="596" spans="1:2" ht="15" customHeight="1">
      <c r="A596" s="8">
        <f>Insurance!A489</f>
        <v>19</v>
      </c>
      <c r="B596" s="7">
        <f>Insurance!C489</f>
        <v>28.7</v>
      </c>
    </row>
    <row r="597" spans="1:2" ht="15" customHeight="1">
      <c r="A597" s="8">
        <f>Insurance!A490</f>
        <v>44</v>
      </c>
      <c r="B597" s="7">
        <f>Insurance!C490</f>
        <v>38.06</v>
      </c>
    </row>
    <row r="598" spans="1:2" ht="15" customHeight="1">
      <c r="A598" s="8">
        <f>Insurance!A491</f>
        <v>53</v>
      </c>
      <c r="B598" s="7">
        <f>Insurance!C491</f>
        <v>31.16</v>
      </c>
    </row>
    <row r="599" spans="1:2" ht="15" customHeight="1">
      <c r="A599" s="8">
        <f>Insurance!A492</f>
        <v>19</v>
      </c>
      <c r="B599" s="7">
        <f>Insurance!C492</f>
        <v>32.9</v>
      </c>
    </row>
    <row r="600" spans="1:2" ht="15" customHeight="1">
      <c r="A600" s="8">
        <f>Insurance!A493</f>
        <v>61</v>
      </c>
      <c r="B600" s="7">
        <f>Insurance!C493</f>
        <v>25.08</v>
      </c>
    </row>
    <row r="601" spans="1:2" ht="15" customHeight="1">
      <c r="A601" s="8">
        <f>Insurance!A494</f>
        <v>18</v>
      </c>
      <c r="B601" s="7">
        <f>Insurance!C494</f>
        <v>25.08</v>
      </c>
    </row>
    <row r="602" spans="1:2" ht="15" customHeight="1">
      <c r="A602" s="8">
        <f>Insurance!A495</f>
        <v>61</v>
      </c>
      <c r="B602" s="7">
        <f>Insurance!C495</f>
        <v>43.4</v>
      </c>
    </row>
    <row r="603" spans="1:2" ht="15" customHeight="1">
      <c r="A603" s="8">
        <f>Insurance!A496</f>
        <v>21</v>
      </c>
      <c r="B603" s="7">
        <f>Insurance!C496</f>
        <v>25.7</v>
      </c>
    </row>
    <row r="604" spans="1:2" ht="15" customHeight="1">
      <c r="A604" s="8">
        <f>Insurance!A497</f>
        <v>20</v>
      </c>
      <c r="B604" s="7">
        <f>Insurance!C497</f>
        <v>27.93</v>
      </c>
    </row>
    <row r="605" spans="1:2" ht="15" customHeight="1">
      <c r="A605" s="8">
        <f>Insurance!A498</f>
        <v>31</v>
      </c>
      <c r="B605" s="7">
        <f>Insurance!C498</f>
        <v>23.6</v>
      </c>
    </row>
    <row r="606" spans="1:2" ht="15" customHeight="1">
      <c r="A606" s="8">
        <f>Insurance!A499</f>
        <v>45</v>
      </c>
      <c r="B606" s="7">
        <f>Insurance!C499</f>
        <v>28.7</v>
      </c>
    </row>
    <row r="607" spans="1:2" ht="15" customHeight="1">
      <c r="A607" s="8">
        <f>Insurance!A500</f>
        <v>44</v>
      </c>
      <c r="B607" s="7">
        <f>Insurance!C500</f>
        <v>23.98</v>
      </c>
    </row>
    <row r="608" spans="1:2" ht="15" customHeight="1">
      <c r="A608" s="8">
        <f>Insurance!A501</f>
        <v>62</v>
      </c>
      <c r="B608" s="7">
        <f>Insurance!C501</f>
        <v>39.200000000000003</v>
      </c>
    </row>
    <row r="609" spans="1:2" ht="15" customHeight="1">
      <c r="A609" s="8">
        <f>Insurance!A502</f>
        <v>29</v>
      </c>
      <c r="B609" s="7">
        <f>Insurance!C502</f>
        <v>34.4</v>
      </c>
    </row>
    <row r="610" spans="1:2" ht="15" customHeight="1">
      <c r="A610" s="8">
        <f>Insurance!A503</f>
        <v>43</v>
      </c>
      <c r="B610" s="7">
        <f>Insurance!C503</f>
        <v>26.03</v>
      </c>
    </row>
    <row r="611" spans="1:2" ht="15" customHeight="1">
      <c r="A611" s="8">
        <f>Insurance!A504</f>
        <v>51</v>
      </c>
      <c r="B611" s="7">
        <f>Insurance!C504</f>
        <v>23.21</v>
      </c>
    </row>
    <row r="612" spans="1:2" ht="15" customHeight="1">
      <c r="A612" s="8">
        <f>Insurance!A505</f>
        <v>19</v>
      </c>
      <c r="B612" s="7">
        <f>Insurance!C505</f>
        <v>30.25</v>
      </c>
    </row>
    <row r="613" spans="1:2" ht="15" customHeight="1">
      <c r="A613" s="8">
        <f>Insurance!A506</f>
        <v>38</v>
      </c>
      <c r="B613" s="7">
        <f>Insurance!C506</f>
        <v>28.93</v>
      </c>
    </row>
    <row r="614" spans="1:2" ht="15" customHeight="1">
      <c r="A614" s="8">
        <f>Insurance!A507</f>
        <v>37</v>
      </c>
      <c r="B614" s="7">
        <f>Insurance!C507</f>
        <v>30.875</v>
      </c>
    </row>
    <row r="615" spans="1:2" ht="15" customHeight="1">
      <c r="A615" s="8">
        <f>Insurance!A508</f>
        <v>22</v>
      </c>
      <c r="B615" s="7">
        <f>Insurance!C508</f>
        <v>31.35</v>
      </c>
    </row>
    <row r="616" spans="1:2" ht="15" customHeight="1">
      <c r="A616" s="8">
        <f>Insurance!A509</f>
        <v>21</v>
      </c>
      <c r="B616" s="7">
        <f>Insurance!C509</f>
        <v>23.75</v>
      </c>
    </row>
    <row r="617" spans="1:2" ht="15" customHeight="1">
      <c r="A617" s="8">
        <f>Insurance!A510</f>
        <v>24</v>
      </c>
      <c r="B617" s="7">
        <f>Insurance!C510</f>
        <v>25.27</v>
      </c>
    </row>
    <row r="618" spans="1:2" ht="15" customHeight="1">
      <c r="A618" s="8">
        <f>Insurance!A511</f>
        <v>57</v>
      </c>
      <c r="B618" s="7">
        <f>Insurance!C511</f>
        <v>28.7</v>
      </c>
    </row>
    <row r="619" spans="1:2" ht="15" customHeight="1">
      <c r="A619" s="8">
        <f>Insurance!A512</f>
        <v>56</v>
      </c>
      <c r="B619" s="7">
        <f>Insurance!C512</f>
        <v>32.11</v>
      </c>
    </row>
    <row r="620" spans="1:2" ht="15" customHeight="1">
      <c r="A620" s="8">
        <f>Insurance!A513</f>
        <v>27</v>
      </c>
      <c r="B620" s="7">
        <f>Insurance!C513</f>
        <v>33.659999999999997</v>
      </c>
    </row>
    <row r="621" spans="1:2" ht="15" customHeight="1">
      <c r="A621" s="8">
        <f>Insurance!A514</f>
        <v>51</v>
      </c>
      <c r="B621" s="7">
        <f>Insurance!C514</f>
        <v>22.42</v>
      </c>
    </row>
    <row r="622" spans="1:2" ht="15" customHeight="1">
      <c r="A622" s="8">
        <f>Insurance!A515</f>
        <v>19</v>
      </c>
      <c r="B622" s="7">
        <f>Insurance!C515</f>
        <v>30.4</v>
      </c>
    </row>
    <row r="623" spans="1:2" ht="15" customHeight="1">
      <c r="A623" s="8">
        <f>Insurance!A516</f>
        <v>39</v>
      </c>
      <c r="B623" s="7">
        <f>Insurance!C516</f>
        <v>28.3</v>
      </c>
    </row>
    <row r="624" spans="1:2" ht="15" customHeight="1">
      <c r="A624" s="8">
        <f>Insurance!A517</f>
        <v>58</v>
      </c>
      <c r="B624" s="7">
        <f>Insurance!C517</f>
        <v>35.700000000000003</v>
      </c>
    </row>
    <row r="625" spans="1:2" ht="15" customHeight="1">
      <c r="A625" s="8">
        <f>Insurance!A518</f>
        <v>20</v>
      </c>
      <c r="B625" s="7">
        <f>Insurance!C518</f>
        <v>35.31</v>
      </c>
    </row>
    <row r="626" spans="1:2" ht="15" customHeight="1">
      <c r="A626" s="8">
        <f>Insurance!A519</f>
        <v>45</v>
      </c>
      <c r="B626" s="7">
        <f>Insurance!C519</f>
        <v>30.495000000000001</v>
      </c>
    </row>
    <row r="627" spans="1:2" ht="15" customHeight="1">
      <c r="A627" s="8">
        <f>Insurance!A520</f>
        <v>35</v>
      </c>
      <c r="B627" s="7">
        <f>Insurance!C520</f>
        <v>31</v>
      </c>
    </row>
    <row r="628" spans="1:2" ht="15" customHeight="1">
      <c r="A628" s="8">
        <f>Insurance!A521</f>
        <v>31</v>
      </c>
      <c r="B628" s="7">
        <f>Insurance!C521</f>
        <v>30.875</v>
      </c>
    </row>
    <row r="629" spans="1:2" ht="15" customHeight="1">
      <c r="A629" s="8">
        <f>Insurance!A522</f>
        <v>50</v>
      </c>
      <c r="B629" s="7">
        <f>Insurance!C522</f>
        <v>27.36</v>
      </c>
    </row>
    <row r="630" spans="1:2" ht="15" customHeight="1">
      <c r="A630" s="8">
        <f>Insurance!A523</f>
        <v>32</v>
      </c>
      <c r="B630" s="7">
        <f>Insurance!C523</f>
        <v>44.22</v>
      </c>
    </row>
    <row r="631" spans="1:2" ht="15" customHeight="1">
      <c r="A631" s="8">
        <f>Insurance!A524</f>
        <v>51</v>
      </c>
      <c r="B631" s="7">
        <f>Insurance!C524</f>
        <v>33.914999999999999</v>
      </c>
    </row>
    <row r="632" spans="1:2" ht="15" customHeight="1">
      <c r="A632" s="8">
        <f>Insurance!A525</f>
        <v>38</v>
      </c>
      <c r="B632" s="7">
        <f>Insurance!C525</f>
        <v>37.729999999999997</v>
      </c>
    </row>
    <row r="633" spans="1:2" ht="15" customHeight="1">
      <c r="A633" s="8">
        <f>Insurance!A526</f>
        <v>42</v>
      </c>
      <c r="B633" s="7">
        <f>Insurance!C526</f>
        <v>26.07</v>
      </c>
    </row>
    <row r="634" spans="1:2" ht="15" customHeight="1">
      <c r="A634" s="8">
        <f>Insurance!A527</f>
        <v>18</v>
      </c>
      <c r="B634" s="7">
        <f>Insurance!C527</f>
        <v>33.880000000000003</v>
      </c>
    </row>
    <row r="635" spans="1:2" ht="15" customHeight="1">
      <c r="A635" s="8">
        <f>Insurance!A528</f>
        <v>19</v>
      </c>
      <c r="B635" s="7">
        <f>Insurance!C528</f>
        <v>30.59</v>
      </c>
    </row>
    <row r="636" spans="1:2" ht="15" customHeight="1">
      <c r="A636" s="8">
        <f>Insurance!A529</f>
        <v>51</v>
      </c>
      <c r="B636" s="7">
        <f>Insurance!C529</f>
        <v>25.8</v>
      </c>
    </row>
    <row r="637" spans="1:2" ht="15" customHeight="1">
      <c r="A637" s="8">
        <f>Insurance!A530</f>
        <v>46</v>
      </c>
      <c r="B637" s="7">
        <f>Insurance!C530</f>
        <v>39.424999999999997</v>
      </c>
    </row>
    <row r="638" spans="1:2" ht="15" customHeight="1">
      <c r="A638" s="8">
        <f>Insurance!A531</f>
        <v>18</v>
      </c>
      <c r="B638" s="7">
        <f>Insurance!C531</f>
        <v>25.46</v>
      </c>
    </row>
    <row r="639" spans="1:2" ht="15" customHeight="1">
      <c r="A639" s="8">
        <f>Insurance!A532</f>
        <v>57</v>
      </c>
      <c r="B639" s="7">
        <f>Insurance!C532</f>
        <v>42.13</v>
      </c>
    </row>
    <row r="640" spans="1:2" ht="15" customHeight="1">
      <c r="A640" s="8">
        <f>Insurance!A533</f>
        <v>62</v>
      </c>
      <c r="B640" s="7">
        <f>Insurance!C533</f>
        <v>31.73</v>
      </c>
    </row>
    <row r="641" spans="1:2" ht="15" customHeight="1">
      <c r="A641" s="8">
        <f>Insurance!A534</f>
        <v>59</v>
      </c>
      <c r="B641" s="7">
        <f>Insurance!C534</f>
        <v>29.7</v>
      </c>
    </row>
    <row r="642" spans="1:2" ht="15" customHeight="1">
      <c r="A642" s="8">
        <f>Insurance!A535</f>
        <v>37</v>
      </c>
      <c r="B642" s="7">
        <f>Insurance!C535</f>
        <v>36.19</v>
      </c>
    </row>
    <row r="643" spans="1:2" ht="15" customHeight="1">
      <c r="A643" s="8">
        <f>Insurance!A536</f>
        <v>64</v>
      </c>
      <c r="B643" s="7">
        <f>Insurance!C536</f>
        <v>40.479999999999997</v>
      </c>
    </row>
    <row r="644" spans="1:2" ht="15" customHeight="1">
      <c r="A644" s="8">
        <f>Insurance!A537</f>
        <v>38</v>
      </c>
      <c r="B644" s="7">
        <f>Insurance!C537</f>
        <v>28.024999999999999</v>
      </c>
    </row>
    <row r="645" spans="1:2" ht="15" customHeight="1">
      <c r="A645" s="8">
        <f>Insurance!A538</f>
        <v>33</v>
      </c>
      <c r="B645" s="7">
        <f>Insurance!C538</f>
        <v>38.9</v>
      </c>
    </row>
    <row r="646" spans="1:2" ht="15" customHeight="1">
      <c r="A646" s="8">
        <f>Insurance!A539</f>
        <v>46</v>
      </c>
      <c r="B646" s="7">
        <f>Insurance!C539</f>
        <v>30.2</v>
      </c>
    </row>
    <row r="647" spans="1:2" ht="15" customHeight="1">
      <c r="A647" s="8">
        <f>Insurance!A540</f>
        <v>46</v>
      </c>
      <c r="B647" s="7">
        <f>Insurance!C540</f>
        <v>28.05</v>
      </c>
    </row>
    <row r="648" spans="1:2" ht="15" customHeight="1">
      <c r="A648" s="8">
        <f>Insurance!A541</f>
        <v>53</v>
      </c>
      <c r="B648" s="7">
        <f>Insurance!C541</f>
        <v>31.35</v>
      </c>
    </row>
    <row r="649" spans="1:2" ht="15" customHeight="1">
      <c r="A649" s="8">
        <f>Insurance!A542</f>
        <v>34</v>
      </c>
      <c r="B649" s="7">
        <f>Insurance!C542</f>
        <v>38</v>
      </c>
    </row>
    <row r="650" spans="1:2" ht="15" customHeight="1">
      <c r="A650" s="8">
        <f>Insurance!A543</f>
        <v>20</v>
      </c>
      <c r="B650" s="7">
        <f>Insurance!C543</f>
        <v>31.79</v>
      </c>
    </row>
    <row r="651" spans="1:2" ht="15" customHeight="1">
      <c r="A651" s="8">
        <f>Insurance!A544</f>
        <v>63</v>
      </c>
      <c r="B651" s="7">
        <f>Insurance!C544</f>
        <v>36.299999999999997</v>
      </c>
    </row>
    <row r="652" spans="1:2" ht="15" customHeight="1">
      <c r="A652" s="8">
        <f>Insurance!A545</f>
        <v>54</v>
      </c>
      <c r="B652" s="7">
        <f>Insurance!C545</f>
        <v>47.41</v>
      </c>
    </row>
    <row r="653" spans="1:2" ht="15" customHeight="1">
      <c r="A653" s="8">
        <f>Insurance!A546</f>
        <v>54</v>
      </c>
      <c r="B653" s="7">
        <f>Insurance!C546</f>
        <v>30.21</v>
      </c>
    </row>
    <row r="654" spans="1:2" ht="15" customHeight="1">
      <c r="A654" s="8">
        <f>Insurance!A547</f>
        <v>49</v>
      </c>
      <c r="B654" s="7">
        <f>Insurance!C547</f>
        <v>25.84</v>
      </c>
    </row>
    <row r="655" spans="1:2" ht="15" customHeight="1">
      <c r="A655" s="8">
        <f>Insurance!A548</f>
        <v>28</v>
      </c>
      <c r="B655" s="7">
        <f>Insurance!C548</f>
        <v>35.435000000000002</v>
      </c>
    </row>
    <row r="656" spans="1:2" ht="15" customHeight="1">
      <c r="A656" s="8">
        <f>Insurance!A549</f>
        <v>54</v>
      </c>
      <c r="B656" s="7">
        <f>Insurance!C549</f>
        <v>46.7</v>
      </c>
    </row>
    <row r="657" spans="1:2" ht="15" customHeight="1">
      <c r="A657" s="8">
        <f>Insurance!A550</f>
        <v>25</v>
      </c>
      <c r="B657" s="7">
        <f>Insurance!C550</f>
        <v>28.594999999999999</v>
      </c>
    </row>
    <row r="658" spans="1:2" ht="15" customHeight="1">
      <c r="A658" s="8">
        <f>Insurance!A551</f>
        <v>43</v>
      </c>
      <c r="B658" s="7">
        <f>Insurance!C551</f>
        <v>46.2</v>
      </c>
    </row>
    <row r="659" spans="1:2" ht="15" customHeight="1">
      <c r="A659" s="8">
        <f>Insurance!A552</f>
        <v>63</v>
      </c>
      <c r="B659" s="7">
        <f>Insurance!C552</f>
        <v>30.8</v>
      </c>
    </row>
    <row r="660" spans="1:2" ht="15" customHeight="1">
      <c r="A660" s="8">
        <f>Insurance!A553</f>
        <v>32</v>
      </c>
      <c r="B660" s="7">
        <f>Insurance!C553</f>
        <v>28.93</v>
      </c>
    </row>
    <row r="661" spans="1:2" ht="15" customHeight="1">
      <c r="A661" s="8">
        <f>Insurance!A554</f>
        <v>62</v>
      </c>
      <c r="B661" s="7">
        <f>Insurance!C554</f>
        <v>21.4</v>
      </c>
    </row>
    <row r="662" spans="1:2" ht="15" customHeight="1">
      <c r="A662" s="8">
        <f>Insurance!A555</f>
        <v>52</v>
      </c>
      <c r="B662" s="7">
        <f>Insurance!C555</f>
        <v>31.73</v>
      </c>
    </row>
    <row r="663" spans="1:2" ht="15" customHeight="1">
      <c r="A663" s="8">
        <f>Insurance!A556</f>
        <v>25</v>
      </c>
      <c r="B663" s="7">
        <f>Insurance!C556</f>
        <v>41.325000000000003</v>
      </c>
    </row>
    <row r="664" spans="1:2" ht="15" customHeight="1">
      <c r="A664" s="8">
        <f>Insurance!A557</f>
        <v>28</v>
      </c>
      <c r="B664" s="7">
        <f>Insurance!C557</f>
        <v>23.8</v>
      </c>
    </row>
    <row r="665" spans="1:2" ht="15" customHeight="1">
      <c r="A665" s="8">
        <f>Insurance!A558</f>
        <v>46</v>
      </c>
      <c r="B665" s="7">
        <f>Insurance!C558</f>
        <v>33.44</v>
      </c>
    </row>
    <row r="666" spans="1:2" ht="15" customHeight="1">
      <c r="A666" s="8">
        <f>Insurance!A559</f>
        <v>34</v>
      </c>
      <c r="B666" s="7">
        <f>Insurance!C559</f>
        <v>34.21</v>
      </c>
    </row>
    <row r="667" spans="1:2" ht="15" customHeight="1">
      <c r="A667" s="8">
        <f>Insurance!A560</f>
        <v>35</v>
      </c>
      <c r="B667" s="7">
        <f>Insurance!C560</f>
        <v>34.104999999999997</v>
      </c>
    </row>
    <row r="668" spans="1:2" ht="15" customHeight="1">
      <c r="A668" s="8">
        <f>Insurance!A561</f>
        <v>19</v>
      </c>
      <c r="B668" s="7">
        <f>Insurance!C561</f>
        <v>35.53</v>
      </c>
    </row>
    <row r="669" spans="1:2" ht="15" customHeight="1">
      <c r="A669" s="8">
        <f>Insurance!A562</f>
        <v>46</v>
      </c>
      <c r="B669" s="7">
        <f>Insurance!C562</f>
        <v>19.95</v>
      </c>
    </row>
    <row r="670" spans="1:2" ht="15" customHeight="1">
      <c r="A670" s="8">
        <f>Insurance!A563</f>
        <v>54</v>
      </c>
      <c r="B670" s="7">
        <f>Insurance!C563</f>
        <v>32.68</v>
      </c>
    </row>
    <row r="671" spans="1:2" ht="15" customHeight="1">
      <c r="A671" s="8">
        <f>Insurance!A564</f>
        <v>27</v>
      </c>
      <c r="B671" s="7">
        <f>Insurance!C564</f>
        <v>30.5</v>
      </c>
    </row>
    <row r="672" spans="1:2" ht="15" customHeight="1">
      <c r="A672" s="8">
        <f>Insurance!A565</f>
        <v>50</v>
      </c>
      <c r="B672" s="7">
        <f>Insurance!C565</f>
        <v>44.77</v>
      </c>
    </row>
    <row r="673" spans="1:2" ht="15" customHeight="1">
      <c r="A673" s="8">
        <f>Insurance!A566</f>
        <v>18</v>
      </c>
      <c r="B673" s="7">
        <f>Insurance!C566</f>
        <v>32.119999999999997</v>
      </c>
    </row>
    <row r="674" spans="1:2" ht="15" customHeight="1">
      <c r="A674" s="8">
        <f>Insurance!A567</f>
        <v>19</v>
      </c>
      <c r="B674" s="7">
        <f>Insurance!C567</f>
        <v>30.495000000000001</v>
      </c>
    </row>
    <row r="675" spans="1:2" ht="15" customHeight="1">
      <c r="A675" s="8">
        <f>Insurance!A568</f>
        <v>38</v>
      </c>
      <c r="B675" s="7">
        <f>Insurance!C568</f>
        <v>40.564999999999998</v>
      </c>
    </row>
    <row r="676" spans="1:2" ht="15" customHeight="1">
      <c r="A676" s="8">
        <f>Insurance!A569</f>
        <v>41</v>
      </c>
      <c r="B676" s="7">
        <f>Insurance!C569</f>
        <v>30.59</v>
      </c>
    </row>
    <row r="677" spans="1:2" ht="15" customHeight="1">
      <c r="A677" s="8">
        <f>Insurance!A570</f>
        <v>49</v>
      </c>
      <c r="B677" s="7">
        <f>Insurance!C570</f>
        <v>31.9</v>
      </c>
    </row>
    <row r="678" spans="1:2" ht="15" customHeight="1">
      <c r="A678" s="8">
        <f>Insurance!A571</f>
        <v>48</v>
      </c>
      <c r="B678" s="7">
        <f>Insurance!C571</f>
        <v>40.564999999999998</v>
      </c>
    </row>
    <row r="679" spans="1:2" ht="15" customHeight="1">
      <c r="A679" s="8">
        <f>Insurance!A572</f>
        <v>31</v>
      </c>
      <c r="B679" s="7">
        <f>Insurance!C572</f>
        <v>29.1</v>
      </c>
    </row>
    <row r="680" spans="1:2" ht="15" customHeight="1">
      <c r="A680" s="8">
        <f>Insurance!A573</f>
        <v>18</v>
      </c>
      <c r="B680" s="7">
        <f>Insurance!C573</f>
        <v>37.29</v>
      </c>
    </row>
    <row r="681" spans="1:2" ht="15" customHeight="1">
      <c r="A681" s="8">
        <f>Insurance!A574</f>
        <v>30</v>
      </c>
      <c r="B681" s="7">
        <f>Insurance!C574</f>
        <v>43.12</v>
      </c>
    </row>
    <row r="682" spans="1:2" ht="15" customHeight="1">
      <c r="A682" s="8">
        <f>Insurance!A575</f>
        <v>62</v>
      </c>
      <c r="B682" s="7">
        <f>Insurance!C575</f>
        <v>36.86</v>
      </c>
    </row>
    <row r="683" spans="1:2" ht="15" customHeight="1">
      <c r="A683" s="8">
        <f>Insurance!A576</f>
        <v>57</v>
      </c>
      <c r="B683" s="7">
        <f>Insurance!C576</f>
        <v>34.295000000000002</v>
      </c>
    </row>
    <row r="684" spans="1:2" ht="15" customHeight="1">
      <c r="A684" s="8">
        <f>Insurance!A577</f>
        <v>58</v>
      </c>
      <c r="B684" s="7">
        <f>Insurance!C577</f>
        <v>27.17</v>
      </c>
    </row>
    <row r="685" spans="1:2" ht="15" customHeight="1">
      <c r="A685" s="8">
        <f>Insurance!A578</f>
        <v>22</v>
      </c>
      <c r="B685" s="7">
        <f>Insurance!C578</f>
        <v>26.84</v>
      </c>
    </row>
    <row r="686" spans="1:2" ht="15" customHeight="1">
      <c r="A686" s="8">
        <f>Insurance!A579</f>
        <v>31</v>
      </c>
      <c r="B686" s="7">
        <f>Insurance!C579</f>
        <v>38.094999999999999</v>
      </c>
    </row>
    <row r="687" spans="1:2" ht="15" customHeight="1">
      <c r="A687" s="8">
        <f>Insurance!A580</f>
        <v>52</v>
      </c>
      <c r="B687" s="7">
        <f>Insurance!C580</f>
        <v>30.2</v>
      </c>
    </row>
    <row r="688" spans="1:2" ht="15" customHeight="1">
      <c r="A688" s="8">
        <f>Insurance!A581</f>
        <v>25</v>
      </c>
      <c r="B688" s="7">
        <f>Insurance!C581</f>
        <v>23.465</v>
      </c>
    </row>
    <row r="689" spans="1:2" ht="15" customHeight="1">
      <c r="A689" s="8">
        <f>Insurance!A582</f>
        <v>59</v>
      </c>
      <c r="B689" s="7">
        <f>Insurance!C582</f>
        <v>25.46</v>
      </c>
    </row>
    <row r="690" spans="1:2" ht="15" customHeight="1">
      <c r="A690" s="8">
        <f>Insurance!A583</f>
        <v>19</v>
      </c>
      <c r="B690" s="7">
        <f>Insurance!C583</f>
        <v>30.59</v>
      </c>
    </row>
    <row r="691" spans="1:2" ht="15" customHeight="1">
      <c r="A691" s="8">
        <f>Insurance!A584</f>
        <v>39</v>
      </c>
      <c r="B691" s="7">
        <f>Insurance!C584</f>
        <v>45.43</v>
      </c>
    </row>
    <row r="692" spans="1:2" ht="15" customHeight="1">
      <c r="A692" s="8">
        <f>Insurance!A585</f>
        <v>32</v>
      </c>
      <c r="B692" s="7">
        <f>Insurance!C585</f>
        <v>23.65</v>
      </c>
    </row>
    <row r="693" spans="1:2" ht="15" customHeight="1">
      <c r="A693" s="8">
        <f>Insurance!A586</f>
        <v>19</v>
      </c>
      <c r="B693" s="7">
        <f>Insurance!C586</f>
        <v>20.7</v>
      </c>
    </row>
    <row r="694" spans="1:2" ht="15" customHeight="1">
      <c r="A694" s="8">
        <f>Insurance!A587</f>
        <v>33</v>
      </c>
      <c r="B694" s="7">
        <f>Insurance!C587</f>
        <v>28.27</v>
      </c>
    </row>
    <row r="695" spans="1:2" ht="15" customHeight="1">
      <c r="A695" s="8">
        <f>Insurance!A588</f>
        <v>21</v>
      </c>
      <c r="B695" s="7">
        <f>Insurance!C588</f>
        <v>20.234999999999999</v>
      </c>
    </row>
    <row r="696" spans="1:2" ht="15" customHeight="1">
      <c r="A696" s="8">
        <f>Insurance!A589</f>
        <v>34</v>
      </c>
      <c r="B696" s="7">
        <f>Insurance!C589</f>
        <v>30.21</v>
      </c>
    </row>
    <row r="697" spans="1:2" ht="15" customHeight="1">
      <c r="A697" s="8">
        <f>Insurance!A590</f>
        <v>61</v>
      </c>
      <c r="B697" s="7">
        <f>Insurance!C590</f>
        <v>35.909999999999997</v>
      </c>
    </row>
    <row r="698" spans="1:2" ht="15" customHeight="1">
      <c r="A698" s="8">
        <f>Insurance!A591</f>
        <v>38</v>
      </c>
      <c r="B698" s="7">
        <f>Insurance!C591</f>
        <v>30.69</v>
      </c>
    </row>
    <row r="699" spans="1:2" ht="15" customHeight="1">
      <c r="A699" s="8">
        <f>Insurance!A592</f>
        <v>58</v>
      </c>
      <c r="B699" s="7">
        <f>Insurance!C592</f>
        <v>29</v>
      </c>
    </row>
    <row r="700" spans="1:2" ht="15" customHeight="1">
      <c r="A700" s="8">
        <f>Insurance!A593</f>
        <v>47</v>
      </c>
      <c r="B700" s="7">
        <f>Insurance!C593</f>
        <v>19.57</v>
      </c>
    </row>
    <row r="701" spans="1:2" ht="15" customHeight="1">
      <c r="A701" s="8">
        <f>Insurance!A594</f>
        <v>20</v>
      </c>
      <c r="B701" s="7">
        <f>Insurance!C594</f>
        <v>31.13</v>
      </c>
    </row>
    <row r="702" spans="1:2" ht="15" customHeight="1">
      <c r="A702" s="8">
        <f>Insurance!A595</f>
        <v>21</v>
      </c>
      <c r="B702" s="7">
        <f>Insurance!C595</f>
        <v>21.85</v>
      </c>
    </row>
    <row r="703" spans="1:2" ht="15" customHeight="1">
      <c r="A703" s="8">
        <f>Insurance!A596</f>
        <v>41</v>
      </c>
      <c r="B703" s="7">
        <f>Insurance!C596</f>
        <v>40.26</v>
      </c>
    </row>
    <row r="704" spans="1:2" ht="15" customHeight="1">
      <c r="A704" s="8">
        <f>Insurance!A597</f>
        <v>46</v>
      </c>
      <c r="B704" s="7">
        <f>Insurance!C597</f>
        <v>33.725000000000001</v>
      </c>
    </row>
    <row r="705" spans="1:2" ht="15" customHeight="1">
      <c r="A705" s="8">
        <f>Insurance!A598</f>
        <v>42</v>
      </c>
      <c r="B705" s="7">
        <f>Insurance!C598</f>
        <v>29.48</v>
      </c>
    </row>
    <row r="706" spans="1:2" ht="15" customHeight="1">
      <c r="A706" s="8">
        <f>Insurance!A599</f>
        <v>34</v>
      </c>
      <c r="B706" s="7">
        <f>Insurance!C599</f>
        <v>33.25</v>
      </c>
    </row>
    <row r="707" spans="1:2" ht="15" customHeight="1">
      <c r="A707" s="8">
        <f>Insurance!A600</f>
        <v>43</v>
      </c>
      <c r="B707" s="7">
        <f>Insurance!C600</f>
        <v>32.6</v>
      </c>
    </row>
    <row r="708" spans="1:2" ht="15" customHeight="1">
      <c r="A708" s="8">
        <f>Insurance!A601</f>
        <v>52</v>
      </c>
      <c r="B708" s="7">
        <f>Insurance!C601</f>
        <v>37.524999999999999</v>
      </c>
    </row>
    <row r="709" spans="1:2" ht="15" customHeight="1">
      <c r="A709" s="8">
        <f>Insurance!A602</f>
        <v>18</v>
      </c>
      <c r="B709" s="7">
        <f>Insurance!C602</f>
        <v>39.159999999999997</v>
      </c>
    </row>
    <row r="710" spans="1:2" ht="15" customHeight="1">
      <c r="A710" s="8">
        <f>Insurance!A603</f>
        <v>51</v>
      </c>
      <c r="B710" s="7">
        <f>Insurance!C603</f>
        <v>31.635000000000002</v>
      </c>
    </row>
    <row r="711" spans="1:2" ht="15" customHeight="1">
      <c r="A711" s="8">
        <f>Insurance!A604</f>
        <v>56</v>
      </c>
      <c r="B711" s="7">
        <f>Insurance!C604</f>
        <v>25.3</v>
      </c>
    </row>
    <row r="712" spans="1:2" ht="15" customHeight="1">
      <c r="A712" s="8">
        <f>Insurance!A605</f>
        <v>64</v>
      </c>
      <c r="B712" s="7">
        <f>Insurance!C605</f>
        <v>39.049999999999997</v>
      </c>
    </row>
    <row r="713" spans="1:2" ht="15" customHeight="1">
      <c r="A713" s="8">
        <f>Insurance!A606</f>
        <v>19</v>
      </c>
      <c r="B713" s="7">
        <f>Insurance!C606</f>
        <v>28.31</v>
      </c>
    </row>
    <row r="714" spans="1:2" ht="15" customHeight="1">
      <c r="A714" s="8">
        <f>Insurance!A607</f>
        <v>51</v>
      </c>
      <c r="B714" s="7">
        <f>Insurance!C607</f>
        <v>34.1</v>
      </c>
    </row>
    <row r="715" spans="1:2" ht="15" customHeight="1">
      <c r="A715" s="8">
        <f>Insurance!A608</f>
        <v>27</v>
      </c>
      <c r="B715" s="7">
        <f>Insurance!C608</f>
        <v>25.175000000000001</v>
      </c>
    </row>
    <row r="716" spans="1:2" ht="15" customHeight="1">
      <c r="A716" s="8">
        <f>Insurance!A609</f>
        <v>59</v>
      </c>
      <c r="B716" s="7">
        <f>Insurance!C609</f>
        <v>23.655000000000001</v>
      </c>
    </row>
    <row r="717" spans="1:2" ht="15" customHeight="1">
      <c r="A717" s="8">
        <f>Insurance!A610</f>
        <v>28</v>
      </c>
      <c r="B717" s="7">
        <f>Insurance!C610</f>
        <v>26.98</v>
      </c>
    </row>
    <row r="718" spans="1:2" ht="15" customHeight="1">
      <c r="A718" s="8">
        <f>Insurance!A611</f>
        <v>30</v>
      </c>
      <c r="B718" s="7">
        <f>Insurance!C611</f>
        <v>37.799999999999997</v>
      </c>
    </row>
    <row r="719" spans="1:2" ht="15" customHeight="1">
      <c r="A719" s="8">
        <f>Insurance!A612</f>
        <v>47</v>
      </c>
      <c r="B719" s="7">
        <f>Insurance!C612</f>
        <v>29.37</v>
      </c>
    </row>
    <row r="720" spans="1:2" ht="15" customHeight="1">
      <c r="A720" s="8">
        <f>Insurance!A613</f>
        <v>38</v>
      </c>
      <c r="B720" s="7">
        <f>Insurance!C613</f>
        <v>34.799999999999997</v>
      </c>
    </row>
    <row r="721" spans="1:2" ht="15" customHeight="1">
      <c r="A721" s="8">
        <f>Insurance!A614</f>
        <v>18</v>
      </c>
      <c r="B721" s="7">
        <f>Insurance!C614</f>
        <v>33.155000000000001</v>
      </c>
    </row>
    <row r="722" spans="1:2" ht="15" customHeight="1">
      <c r="A722" s="8">
        <f>Insurance!A615</f>
        <v>34</v>
      </c>
      <c r="B722" s="7">
        <f>Insurance!C615</f>
        <v>19</v>
      </c>
    </row>
    <row r="723" spans="1:2" ht="15" customHeight="1">
      <c r="A723" s="8">
        <f>Insurance!A616</f>
        <v>20</v>
      </c>
      <c r="B723" s="7">
        <f>Insurance!C616</f>
        <v>33</v>
      </c>
    </row>
    <row r="724" spans="1:2" ht="15" customHeight="1">
      <c r="A724" s="8">
        <f>Insurance!A617</f>
        <v>47</v>
      </c>
      <c r="B724" s="7">
        <f>Insurance!C617</f>
        <v>36.630000000000003</v>
      </c>
    </row>
    <row r="725" spans="1:2" ht="15" customHeight="1">
      <c r="A725" s="8">
        <f>Insurance!A618</f>
        <v>56</v>
      </c>
      <c r="B725" s="7">
        <f>Insurance!C618</f>
        <v>28.594999999999999</v>
      </c>
    </row>
    <row r="726" spans="1:2" ht="15" customHeight="1">
      <c r="A726" s="8">
        <f>Insurance!A619</f>
        <v>49</v>
      </c>
      <c r="B726" s="7">
        <f>Insurance!C619</f>
        <v>25.6</v>
      </c>
    </row>
    <row r="727" spans="1:2" ht="15" customHeight="1">
      <c r="A727" s="8">
        <f>Insurance!A620</f>
        <v>19</v>
      </c>
      <c r="B727" s="7">
        <f>Insurance!C620</f>
        <v>33.11</v>
      </c>
    </row>
    <row r="728" spans="1:2" ht="15" customHeight="1">
      <c r="A728" s="8">
        <f>Insurance!A621</f>
        <v>55</v>
      </c>
      <c r="B728" s="7">
        <f>Insurance!C621</f>
        <v>37.1</v>
      </c>
    </row>
    <row r="729" spans="1:2" ht="15" customHeight="1">
      <c r="A729" s="8">
        <f>Insurance!A622</f>
        <v>30</v>
      </c>
      <c r="B729" s="7">
        <f>Insurance!C622</f>
        <v>31.4</v>
      </c>
    </row>
    <row r="730" spans="1:2" ht="15" customHeight="1">
      <c r="A730" s="8">
        <f>Insurance!A623</f>
        <v>37</v>
      </c>
      <c r="B730" s="7">
        <f>Insurance!C623</f>
        <v>34.1</v>
      </c>
    </row>
    <row r="731" spans="1:2" ht="15" customHeight="1">
      <c r="A731" s="8">
        <f>Insurance!A624</f>
        <v>49</v>
      </c>
      <c r="B731" s="7">
        <f>Insurance!C624</f>
        <v>21.3</v>
      </c>
    </row>
    <row r="732" spans="1:2" ht="15" customHeight="1">
      <c r="A732" s="8">
        <f>Insurance!A625</f>
        <v>18</v>
      </c>
      <c r="B732" s="7">
        <f>Insurance!C625</f>
        <v>33.534999999999997</v>
      </c>
    </row>
    <row r="733" spans="1:2" ht="15" customHeight="1">
      <c r="A733" s="8">
        <f>Insurance!A626</f>
        <v>59</v>
      </c>
      <c r="B733" s="7">
        <f>Insurance!C626</f>
        <v>28.785</v>
      </c>
    </row>
    <row r="734" spans="1:2" ht="15" customHeight="1">
      <c r="A734" s="8">
        <f>Insurance!A627</f>
        <v>29</v>
      </c>
      <c r="B734" s="7">
        <f>Insurance!C627</f>
        <v>26.03</v>
      </c>
    </row>
    <row r="735" spans="1:2" ht="15" customHeight="1">
      <c r="A735" s="8">
        <f>Insurance!A628</f>
        <v>36</v>
      </c>
      <c r="B735" s="7">
        <f>Insurance!C628</f>
        <v>28.88</v>
      </c>
    </row>
    <row r="736" spans="1:2" ht="15" customHeight="1">
      <c r="A736" s="8">
        <f>Insurance!A629</f>
        <v>33</v>
      </c>
      <c r="B736" s="7">
        <f>Insurance!C629</f>
        <v>42.46</v>
      </c>
    </row>
    <row r="737" spans="1:2" ht="15" customHeight="1">
      <c r="A737" s="8">
        <f>Insurance!A630</f>
        <v>58</v>
      </c>
      <c r="B737" s="7">
        <f>Insurance!C630</f>
        <v>38</v>
      </c>
    </row>
    <row r="738" spans="1:2" ht="15" customHeight="1">
      <c r="A738" s="8">
        <f>Insurance!A631</f>
        <v>44</v>
      </c>
      <c r="B738" s="7">
        <f>Insurance!C631</f>
        <v>38.950000000000003</v>
      </c>
    </row>
    <row r="739" spans="1:2" ht="15" customHeight="1">
      <c r="A739" s="8">
        <f>Insurance!A632</f>
        <v>53</v>
      </c>
      <c r="B739" s="7">
        <f>Insurance!C632</f>
        <v>36.1</v>
      </c>
    </row>
    <row r="740" spans="1:2" ht="15" customHeight="1">
      <c r="A740" s="8">
        <f>Insurance!A633</f>
        <v>24</v>
      </c>
      <c r="B740" s="7">
        <f>Insurance!C633</f>
        <v>29.3</v>
      </c>
    </row>
    <row r="741" spans="1:2" ht="15" customHeight="1">
      <c r="A741" s="8">
        <f>Insurance!A634</f>
        <v>29</v>
      </c>
      <c r="B741" s="7">
        <f>Insurance!C634</f>
        <v>35.53</v>
      </c>
    </row>
    <row r="742" spans="1:2" ht="15" customHeight="1">
      <c r="A742" s="8">
        <f>Insurance!A635</f>
        <v>40</v>
      </c>
      <c r="B742" s="7">
        <f>Insurance!C635</f>
        <v>22.704999999999998</v>
      </c>
    </row>
    <row r="743" spans="1:2" ht="15" customHeight="1">
      <c r="A743" s="8">
        <f>Insurance!A636</f>
        <v>51</v>
      </c>
      <c r="B743" s="7">
        <f>Insurance!C636</f>
        <v>39.700000000000003</v>
      </c>
    </row>
    <row r="744" spans="1:2" ht="15" customHeight="1">
      <c r="A744" s="8">
        <f>Insurance!A637</f>
        <v>64</v>
      </c>
      <c r="B744" s="7">
        <f>Insurance!C637</f>
        <v>38.19</v>
      </c>
    </row>
    <row r="745" spans="1:2" ht="15" customHeight="1">
      <c r="A745" s="8">
        <f>Insurance!A638</f>
        <v>19</v>
      </c>
      <c r="B745" s="7">
        <f>Insurance!C638</f>
        <v>24.51</v>
      </c>
    </row>
    <row r="746" spans="1:2" ht="15" customHeight="1">
      <c r="A746" s="8">
        <f>Insurance!A639</f>
        <v>35</v>
      </c>
      <c r="B746" s="7">
        <f>Insurance!C639</f>
        <v>38.094999999999999</v>
      </c>
    </row>
    <row r="747" spans="1:2" ht="15" customHeight="1">
      <c r="A747" s="8">
        <f>Insurance!A640</f>
        <v>39</v>
      </c>
      <c r="B747" s="7">
        <f>Insurance!C640</f>
        <v>26.41</v>
      </c>
    </row>
    <row r="748" spans="1:2" ht="15" customHeight="1">
      <c r="A748" s="8">
        <f>Insurance!A641</f>
        <v>56</v>
      </c>
      <c r="B748" s="7">
        <f>Insurance!C641</f>
        <v>33.659999999999997</v>
      </c>
    </row>
    <row r="749" spans="1:2" ht="15" customHeight="1">
      <c r="A749" s="8">
        <f>Insurance!A642</f>
        <v>33</v>
      </c>
      <c r="B749" s="7">
        <f>Insurance!C642</f>
        <v>42.4</v>
      </c>
    </row>
    <row r="750" spans="1:2" ht="15" customHeight="1">
      <c r="A750" s="8">
        <f>Insurance!A643</f>
        <v>42</v>
      </c>
      <c r="B750" s="7">
        <f>Insurance!C643</f>
        <v>28.31</v>
      </c>
    </row>
    <row r="751" spans="1:2" ht="15" customHeight="1">
      <c r="A751" s="8">
        <f>Insurance!A644</f>
        <v>61</v>
      </c>
      <c r="B751" s="7">
        <f>Insurance!C644</f>
        <v>33.914999999999999</v>
      </c>
    </row>
    <row r="752" spans="1:2" ht="15" customHeight="1">
      <c r="A752" s="8">
        <f>Insurance!A645</f>
        <v>23</v>
      </c>
      <c r="B752" s="7">
        <f>Insurance!C645</f>
        <v>34.96</v>
      </c>
    </row>
    <row r="753" spans="1:2" ht="15" customHeight="1">
      <c r="A753" s="8">
        <f>Insurance!A646</f>
        <v>43</v>
      </c>
      <c r="B753" s="7">
        <f>Insurance!C646</f>
        <v>35.31</v>
      </c>
    </row>
    <row r="754" spans="1:2" ht="15" customHeight="1">
      <c r="A754" s="8">
        <f>Insurance!A647</f>
        <v>48</v>
      </c>
      <c r="B754" s="7">
        <f>Insurance!C647</f>
        <v>30.78</v>
      </c>
    </row>
    <row r="755" spans="1:2" ht="15" customHeight="1">
      <c r="A755" s="8">
        <f>Insurance!A648</f>
        <v>39</v>
      </c>
      <c r="B755" s="7">
        <f>Insurance!C648</f>
        <v>26.22</v>
      </c>
    </row>
    <row r="756" spans="1:2" ht="15" customHeight="1">
      <c r="A756" s="8">
        <f>Insurance!A649</f>
        <v>40</v>
      </c>
      <c r="B756" s="7">
        <f>Insurance!C649</f>
        <v>23.37</v>
      </c>
    </row>
    <row r="757" spans="1:2" ht="15" customHeight="1">
      <c r="A757" s="8">
        <f>Insurance!A650</f>
        <v>18</v>
      </c>
      <c r="B757" s="7">
        <f>Insurance!C650</f>
        <v>28.5</v>
      </c>
    </row>
    <row r="758" spans="1:2" ht="15" customHeight="1">
      <c r="A758" s="8">
        <f>Insurance!A651</f>
        <v>58</v>
      </c>
      <c r="B758" s="7">
        <f>Insurance!C651</f>
        <v>32.965000000000003</v>
      </c>
    </row>
    <row r="759" spans="1:2" ht="15" customHeight="1">
      <c r="A759" s="8">
        <f>Insurance!A652</f>
        <v>49</v>
      </c>
      <c r="B759" s="7">
        <f>Insurance!C652</f>
        <v>42.68</v>
      </c>
    </row>
    <row r="760" spans="1:2" ht="15" customHeight="1">
      <c r="A760" s="8">
        <f>Insurance!A653</f>
        <v>53</v>
      </c>
      <c r="B760" s="7">
        <f>Insurance!C653</f>
        <v>39.6</v>
      </c>
    </row>
    <row r="761" spans="1:2" ht="15" customHeight="1">
      <c r="A761" s="8">
        <f>Insurance!A654</f>
        <v>48</v>
      </c>
      <c r="B761" s="7">
        <f>Insurance!C654</f>
        <v>31.13</v>
      </c>
    </row>
    <row r="762" spans="1:2" ht="15" customHeight="1">
      <c r="A762" s="8">
        <f>Insurance!A655</f>
        <v>45</v>
      </c>
      <c r="B762" s="7">
        <f>Insurance!C655</f>
        <v>36.299999999999997</v>
      </c>
    </row>
    <row r="763" spans="1:2" ht="15" customHeight="1">
      <c r="A763" s="8">
        <f>Insurance!A656</f>
        <v>59</v>
      </c>
      <c r="B763" s="7">
        <f>Insurance!C656</f>
        <v>35.200000000000003</v>
      </c>
    </row>
    <row r="764" spans="1:2" ht="15" customHeight="1">
      <c r="A764" s="8">
        <f>Insurance!A657</f>
        <v>52</v>
      </c>
      <c r="B764" s="7">
        <f>Insurance!C657</f>
        <v>25.3</v>
      </c>
    </row>
    <row r="765" spans="1:2" ht="15" customHeight="1">
      <c r="A765" s="8">
        <f>Insurance!A658</f>
        <v>26</v>
      </c>
      <c r="B765" s="7">
        <f>Insurance!C658</f>
        <v>42.4</v>
      </c>
    </row>
    <row r="766" spans="1:2" ht="15" customHeight="1">
      <c r="A766" s="8">
        <f>Insurance!A659</f>
        <v>27</v>
      </c>
      <c r="B766" s="7">
        <f>Insurance!C659</f>
        <v>33.155000000000001</v>
      </c>
    </row>
    <row r="767" spans="1:2" ht="15" customHeight="1">
      <c r="A767" s="8">
        <f>Insurance!A660</f>
        <v>48</v>
      </c>
      <c r="B767" s="7">
        <f>Insurance!C660</f>
        <v>35.909999999999997</v>
      </c>
    </row>
    <row r="768" spans="1:2" ht="15" customHeight="1">
      <c r="A768" s="8">
        <f>Insurance!A661</f>
        <v>57</v>
      </c>
      <c r="B768" s="7">
        <f>Insurance!C661</f>
        <v>28.785</v>
      </c>
    </row>
    <row r="769" spans="1:2" ht="15" customHeight="1">
      <c r="A769" s="8">
        <f>Insurance!A662</f>
        <v>37</v>
      </c>
      <c r="B769" s="7">
        <f>Insurance!C662</f>
        <v>46.53</v>
      </c>
    </row>
    <row r="770" spans="1:2" ht="15" customHeight="1">
      <c r="A770" s="8">
        <f>Insurance!A663</f>
        <v>57</v>
      </c>
      <c r="B770" s="7">
        <f>Insurance!C663</f>
        <v>23.98</v>
      </c>
    </row>
    <row r="771" spans="1:2" ht="15" customHeight="1">
      <c r="A771" s="8">
        <f>Insurance!A664</f>
        <v>32</v>
      </c>
      <c r="B771" s="7">
        <f>Insurance!C664</f>
        <v>31.54</v>
      </c>
    </row>
    <row r="772" spans="1:2" ht="15" customHeight="1">
      <c r="A772" s="8">
        <f>Insurance!A665</f>
        <v>18</v>
      </c>
      <c r="B772" s="7">
        <f>Insurance!C665</f>
        <v>33.659999999999997</v>
      </c>
    </row>
    <row r="773" spans="1:2" ht="15" customHeight="1">
      <c r="A773" s="8">
        <f>Insurance!A666</f>
        <v>64</v>
      </c>
      <c r="B773" s="7">
        <f>Insurance!C666</f>
        <v>22.99</v>
      </c>
    </row>
    <row r="774" spans="1:2" ht="15" customHeight="1">
      <c r="A774" s="8">
        <f>Insurance!A667</f>
        <v>43</v>
      </c>
      <c r="B774" s="7">
        <f>Insurance!C667</f>
        <v>38.06</v>
      </c>
    </row>
    <row r="775" spans="1:2" ht="15" customHeight="1">
      <c r="A775" s="8">
        <f>Insurance!A668</f>
        <v>49</v>
      </c>
      <c r="B775" s="7">
        <f>Insurance!C668</f>
        <v>28.7</v>
      </c>
    </row>
    <row r="776" spans="1:2" ht="15" customHeight="1">
      <c r="A776" s="8">
        <f>Insurance!A669</f>
        <v>40</v>
      </c>
      <c r="B776" s="7">
        <f>Insurance!C669</f>
        <v>32.774999999999999</v>
      </c>
    </row>
    <row r="777" spans="1:2" ht="15" customHeight="1">
      <c r="A777" s="8">
        <f>Insurance!A670</f>
        <v>62</v>
      </c>
      <c r="B777" s="7">
        <f>Insurance!C670</f>
        <v>32.015000000000001</v>
      </c>
    </row>
    <row r="778" spans="1:2" ht="15" customHeight="1">
      <c r="A778" s="8">
        <f>Insurance!A671</f>
        <v>40</v>
      </c>
      <c r="B778" s="7">
        <f>Insurance!C671</f>
        <v>29.81</v>
      </c>
    </row>
    <row r="779" spans="1:2" ht="15" customHeight="1">
      <c r="A779" s="8">
        <f>Insurance!A672</f>
        <v>30</v>
      </c>
      <c r="B779" s="7">
        <f>Insurance!C672</f>
        <v>31.57</v>
      </c>
    </row>
    <row r="780" spans="1:2" ht="15" customHeight="1">
      <c r="A780" s="8">
        <f>Insurance!A673</f>
        <v>29</v>
      </c>
      <c r="B780" s="7">
        <f>Insurance!C673</f>
        <v>31.16</v>
      </c>
    </row>
    <row r="781" spans="1:2" ht="15" customHeight="1">
      <c r="A781" s="8">
        <f>Insurance!A674</f>
        <v>36</v>
      </c>
      <c r="B781" s="7">
        <f>Insurance!C674</f>
        <v>29.7</v>
      </c>
    </row>
    <row r="782" spans="1:2" ht="15" customHeight="1">
      <c r="A782" s="8">
        <f>Insurance!A675</f>
        <v>41</v>
      </c>
      <c r="B782" s="7">
        <f>Insurance!C675</f>
        <v>31.02</v>
      </c>
    </row>
    <row r="783" spans="1:2" ht="15" customHeight="1">
      <c r="A783" s="8">
        <f>Insurance!A676</f>
        <v>44</v>
      </c>
      <c r="B783" s="7">
        <f>Insurance!C676</f>
        <v>43.89</v>
      </c>
    </row>
    <row r="784" spans="1:2" ht="15" customHeight="1">
      <c r="A784" s="8">
        <f>Insurance!A677</f>
        <v>45</v>
      </c>
      <c r="B784" s="7">
        <f>Insurance!C677</f>
        <v>21.375</v>
      </c>
    </row>
    <row r="785" spans="1:2" ht="15" customHeight="1">
      <c r="A785" s="8">
        <f>Insurance!A678</f>
        <v>55</v>
      </c>
      <c r="B785" s="7">
        <f>Insurance!C678</f>
        <v>40.81</v>
      </c>
    </row>
    <row r="786" spans="1:2" ht="15" customHeight="1">
      <c r="A786" s="8">
        <f>Insurance!A679</f>
        <v>60</v>
      </c>
      <c r="B786" s="7">
        <f>Insurance!C679</f>
        <v>31.35</v>
      </c>
    </row>
    <row r="787" spans="1:2" ht="15" customHeight="1">
      <c r="A787" s="8">
        <f>Insurance!A680</f>
        <v>56</v>
      </c>
      <c r="B787" s="7">
        <f>Insurance!C680</f>
        <v>36.1</v>
      </c>
    </row>
    <row r="788" spans="1:2" ht="15" customHeight="1">
      <c r="A788" s="8">
        <f>Insurance!A681</f>
        <v>49</v>
      </c>
      <c r="B788" s="7">
        <f>Insurance!C681</f>
        <v>23.18</v>
      </c>
    </row>
    <row r="789" spans="1:2" ht="15" customHeight="1">
      <c r="A789" s="8">
        <f>Insurance!A682</f>
        <v>21</v>
      </c>
      <c r="B789" s="7">
        <f>Insurance!C682</f>
        <v>17.399999999999999</v>
      </c>
    </row>
    <row r="790" spans="1:2" ht="15" customHeight="1">
      <c r="A790" s="8">
        <f>Insurance!A683</f>
        <v>19</v>
      </c>
      <c r="B790" s="7">
        <f>Insurance!C683</f>
        <v>20.3</v>
      </c>
    </row>
    <row r="791" spans="1:2" ht="15" customHeight="1">
      <c r="A791" s="8">
        <f>Insurance!A684</f>
        <v>39</v>
      </c>
      <c r="B791" s="7">
        <f>Insurance!C684</f>
        <v>35.299999999999997</v>
      </c>
    </row>
    <row r="792" spans="1:2" ht="15" customHeight="1">
      <c r="A792" s="8">
        <f>Insurance!A685</f>
        <v>53</v>
      </c>
      <c r="B792" s="7">
        <f>Insurance!C685</f>
        <v>24.32</v>
      </c>
    </row>
    <row r="793" spans="1:2" ht="15" customHeight="1">
      <c r="A793" s="8">
        <f>Insurance!A686</f>
        <v>33</v>
      </c>
      <c r="B793" s="7">
        <f>Insurance!C686</f>
        <v>18.5</v>
      </c>
    </row>
    <row r="794" spans="1:2" ht="15" customHeight="1">
      <c r="A794" s="8">
        <f>Insurance!A687</f>
        <v>53</v>
      </c>
      <c r="B794" s="7">
        <f>Insurance!C687</f>
        <v>26.41</v>
      </c>
    </row>
    <row r="795" spans="1:2" ht="15" customHeight="1">
      <c r="A795" s="8">
        <f>Insurance!A688</f>
        <v>42</v>
      </c>
      <c r="B795" s="7">
        <f>Insurance!C688</f>
        <v>26.125</v>
      </c>
    </row>
    <row r="796" spans="1:2" ht="15" customHeight="1">
      <c r="A796" s="8">
        <f>Insurance!A689</f>
        <v>40</v>
      </c>
      <c r="B796" s="7">
        <f>Insurance!C689</f>
        <v>41.69</v>
      </c>
    </row>
    <row r="797" spans="1:2" ht="15" customHeight="1">
      <c r="A797" s="8">
        <f>Insurance!A690</f>
        <v>47</v>
      </c>
      <c r="B797" s="7">
        <f>Insurance!C690</f>
        <v>24.1</v>
      </c>
    </row>
    <row r="798" spans="1:2" ht="15" customHeight="1">
      <c r="A798" s="8">
        <f>Insurance!A691</f>
        <v>27</v>
      </c>
      <c r="B798" s="7">
        <f>Insurance!C691</f>
        <v>31.13</v>
      </c>
    </row>
    <row r="799" spans="1:2" ht="15" customHeight="1">
      <c r="A799" s="8">
        <f>Insurance!A692</f>
        <v>21</v>
      </c>
      <c r="B799" s="7">
        <f>Insurance!C692</f>
        <v>27.36</v>
      </c>
    </row>
    <row r="800" spans="1:2" ht="15" customHeight="1">
      <c r="A800" s="8">
        <f>Insurance!A693</f>
        <v>47</v>
      </c>
      <c r="B800" s="7">
        <f>Insurance!C693</f>
        <v>36.200000000000003</v>
      </c>
    </row>
    <row r="801" spans="1:2" ht="15" customHeight="1">
      <c r="A801" s="8">
        <f>Insurance!A694</f>
        <v>20</v>
      </c>
      <c r="B801" s="7">
        <f>Insurance!C694</f>
        <v>32.395000000000003</v>
      </c>
    </row>
    <row r="802" spans="1:2" ht="15" customHeight="1">
      <c r="A802" s="8">
        <f>Insurance!A695</f>
        <v>24</v>
      </c>
      <c r="B802" s="7">
        <f>Insurance!C695</f>
        <v>23.655000000000001</v>
      </c>
    </row>
    <row r="803" spans="1:2" ht="15" customHeight="1">
      <c r="A803" s="8">
        <f>Insurance!A696</f>
        <v>27</v>
      </c>
      <c r="B803" s="7">
        <f>Insurance!C696</f>
        <v>34.799999999999997</v>
      </c>
    </row>
    <row r="804" spans="1:2" ht="15" customHeight="1">
      <c r="A804" s="8">
        <f>Insurance!A697</f>
        <v>26</v>
      </c>
      <c r="B804" s="7">
        <f>Insurance!C697</f>
        <v>40.185000000000002</v>
      </c>
    </row>
    <row r="805" spans="1:2" ht="15" customHeight="1">
      <c r="A805" s="8">
        <f>Insurance!A698</f>
        <v>53</v>
      </c>
      <c r="B805" s="7">
        <f>Insurance!C698</f>
        <v>32.299999999999997</v>
      </c>
    </row>
    <row r="806" spans="1:2" ht="15" customHeight="1">
      <c r="A806" s="8">
        <f>Insurance!A699</f>
        <v>41</v>
      </c>
      <c r="B806" s="7">
        <f>Insurance!C699</f>
        <v>35.75</v>
      </c>
    </row>
    <row r="807" spans="1:2" ht="15" customHeight="1">
      <c r="A807" s="8">
        <f>Insurance!A700</f>
        <v>56</v>
      </c>
      <c r="B807" s="7">
        <f>Insurance!C700</f>
        <v>33.725000000000001</v>
      </c>
    </row>
    <row r="808" spans="1:2" ht="15" customHeight="1">
      <c r="A808" s="8">
        <f>Insurance!A701</f>
        <v>23</v>
      </c>
      <c r="B808" s="7">
        <f>Insurance!C701</f>
        <v>39.270000000000003</v>
      </c>
    </row>
    <row r="809" spans="1:2" ht="15" customHeight="1">
      <c r="A809" s="8">
        <f>Insurance!A702</f>
        <v>21</v>
      </c>
      <c r="B809" s="7">
        <f>Insurance!C702</f>
        <v>34.869999999999997</v>
      </c>
    </row>
    <row r="810" spans="1:2" ht="15" customHeight="1">
      <c r="A810" s="8">
        <f>Insurance!A703</f>
        <v>50</v>
      </c>
      <c r="B810" s="7">
        <f>Insurance!C703</f>
        <v>44.744999999999997</v>
      </c>
    </row>
    <row r="811" spans="1:2" ht="15" customHeight="1">
      <c r="A811" s="8">
        <f>Insurance!A704</f>
        <v>53</v>
      </c>
      <c r="B811" s="7">
        <f>Insurance!C704</f>
        <v>41.47</v>
      </c>
    </row>
    <row r="812" spans="1:2" ht="15" customHeight="1">
      <c r="A812" s="8">
        <f>Insurance!A705</f>
        <v>34</v>
      </c>
      <c r="B812" s="7">
        <f>Insurance!C705</f>
        <v>26.41</v>
      </c>
    </row>
    <row r="813" spans="1:2" ht="15" customHeight="1">
      <c r="A813" s="8">
        <f>Insurance!A706</f>
        <v>47</v>
      </c>
      <c r="B813" s="7">
        <f>Insurance!C706</f>
        <v>29.545000000000002</v>
      </c>
    </row>
    <row r="814" spans="1:2" ht="15" customHeight="1">
      <c r="A814" s="8">
        <f>Insurance!A707</f>
        <v>33</v>
      </c>
      <c r="B814" s="7">
        <f>Insurance!C707</f>
        <v>32.9</v>
      </c>
    </row>
    <row r="815" spans="1:2" ht="15" customHeight="1">
      <c r="A815" s="8">
        <f>Insurance!A708</f>
        <v>51</v>
      </c>
      <c r="B815" s="7">
        <f>Insurance!C708</f>
        <v>38.06</v>
      </c>
    </row>
    <row r="816" spans="1:2" ht="15" customHeight="1">
      <c r="A816" s="8">
        <f>Insurance!A709</f>
        <v>49</v>
      </c>
      <c r="B816" s="7">
        <f>Insurance!C709</f>
        <v>28.69</v>
      </c>
    </row>
    <row r="817" spans="1:2" ht="15" customHeight="1">
      <c r="A817" s="8">
        <f>Insurance!A710</f>
        <v>31</v>
      </c>
      <c r="B817" s="7">
        <f>Insurance!C710</f>
        <v>30.495000000000001</v>
      </c>
    </row>
    <row r="818" spans="1:2" ht="15" customHeight="1">
      <c r="A818" s="8">
        <f>Insurance!A711</f>
        <v>36</v>
      </c>
      <c r="B818" s="7">
        <f>Insurance!C711</f>
        <v>27.74</v>
      </c>
    </row>
    <row r="819" spans="1:2" ht="15" customHeight="1">
      <c r="A819" s="8">
        <f>Insurance!A712</f>
        <v>18</v>
      </c>
      <c r="B819" s="7">
        <f>Insurance!C712</f>
        <v>35.200000000000003</v>
      </c>
    </row>
    <row r="820" spans="1:2" ht="15" customHeight="1">
      <c r="A820" s="8">
        <f>Insurance!A713</f>
        <v>50</v>
      </c>
      <c r="B820" s="7">
        <f>Insurance!C713</f>
        <v>23.54</v>
      </c>
    </row>
    <row r="821" spans="1:2" ht="15" customHeight="1">
      <c r="A821" s="8">
        <f>Insurance!A714</f>
        <v>43</v>
      </c>
      <c r="B821" s="7">
        <f>Insurance!C714</f>
        <v>30.684999999999999</v>
      </c>
    </row>
    <row r="822" spans="1:2" ht="15" customHeight="1">
      <c r="A822" s="8">
        <f>Insurance!A715</f>
        <v>20</v>
      </c>
      <c r="B822" s="7">
        <f>Insurance!C715</f>
        <v>40.47</v>
      </c>
    </row>
    <row r="823" spans="1:2" ht="15" customHeight="1">
      <c r="A823" s="8">
        <f>Insurance!A716</f>
        <v>24</v>
      </c>
      <c r="B823" s="7">
        <f>Insurance!C716</f>
        <v>22.6</v>
      </c>
    </row>
    <row r="824" spans="1:2" ht="15" customHeight="1">
      <c r="A824" s="8">
        <f>Insurance!A717</f>
        <v>60</v>
      </c>
      <c r="B824" s="7">
        <f>Insurance!C717</f>
        <v>28.9</v>
      </c>
    </row>
    <row r="825" spans="1:2" ht="15" customHeight="1">
      <c r="A825" s="8">
        <f>Insurance!A718</f>
        <v>49</v>
      </c>
      <c r="B825" s="7">
        <f>Insurance!C718</f>
        <v>22.61</v>
      </c>
    </row>
    <row r="826" spans="1:2" ht="15" customHeight="1">
      <c r="A826" s="8">
        <f>Insurance!A719</f>
        <v>60</v>
      </c>
      <c r="B826" s="7">
        <f>Insurance!C719</f>
        <v>24.32</v>
      </c>
    </row>
    <row r="827" spans="1:2" ht="15" customHeight="1">
      <c r="A827" s="8">
        <f>Insurance!A720</f>
        <v>51</v>
      </c>
      <c r="B827" s="7">
        <f>Insurance!C720</f>
        <v>36.67</v>
      </c>
    </row>
    <row r="828" spans="1:2" ht="15" customHeight="1">
      <c r="A828" s="8">
        <f>Insurance!A721</f>
        <v>58</v>
      </c>
      <c r="B828" s="7">
        <f>Insurance!C721</f>
        <v>33.44</v>
      </c>
    </row>
    <row r="829" spans="1:2" ht="15" customHeight="1">
      <c r="A829" s="8">
        <f>Insurance!A722</f>
        <v>51</v>
      </c>
      <c r="B829" s="7">
        <f>Insurance!C722</f>
        <v>40.659999999999997</v>
      </c>
    </row>
    <row r="830" spans="1:2" ht="15" customHeight="1">
      <c r="A830" s="8">
        <f>Insurance!A723</f>
        <v>53</v>
      </c>
      <c r="B830" s="7">
        <f>Insurance!C723</f>
        <v>36.6</v>
      </c>
    </row>
    <row r="831" spans="1:2" ht="15" customHeight="1">
      <c r="A831" s="8">
        <f>Insurance!A724</f>
        <v>62</v>
      </c>
      <c r="B831" s="7">
        <f>Insurance!C724</f>
        <v>37.4</v>
      </c>
    </row>
    <row r="832" spans="1:2" ht="15" customHeight="1">
      <c r="A832" s="8">
        <f>Insurance!A725</f>
        <v>19</v>
      </c>
      <c r="B832" s="7">
        <f>Insurance!C725</f>
        <v>35.4</v>
      </c>
    </row>
    <row r="833" spans="1:2" ht="15" customHeight="1">
      <c r="A833" s="8">
        <f>Insurance!A726</f>
        <v>50</v>
      </c>
      <c r="B833" s="7">
        <f>Insurance!C726</f>
        <v>27.074999999999999</v>
      </c>
    </row>
    <row r="834" spans="1:2" ht="15" customHeight="1">
      <c r="A834" s="8">
        <f>Insurance!A727</f>
        <v>30</v>
      </c>
      <c r="B834" s="7">
        <f>Insurance!C727</f>
        <v>39.049999999999997</v>
      </c>
    </row>
    <row r="835" spans="1:2" ht="15" customHeight="1">
      <c r="A835" s="8">
        <f>Insurance!A728</f>
        <v>41</v>
      </c>
      <c r="B835" s="7">
        <f>Insurance!C728</f>
        <v>28.405000000000001</v>
      </c>
    </row>
    <row r="836" spans="1:2" ht="15" customHeight="1">
      <c r="A836" s="8">
        <f>Insurance!A729</f>
        <v>29</v>
      </c>
      <c r="B836" s="7">
        <f>Insurance!C729</f>
        <v>21.754999999999999</v>
      </c>
    </row>
    <row r="837" spans="1:2" ht="15" customHeight="1">
      <c r="A837" s="8">
        <f>Insurance!A730</f>
        <v>18</v>
      </c>
      <c r="B837" s="7">
        <f>Insurance!C730</f>
        <v>40.28</v>
      </c>
    </row>
    <row r="838" spans="1:2" ht="15" customHeight="1">
      <c r="A838" s="8">
        <f>Insurance!A731</f>
        <v>41</v>
      </c>
      <c r="B838" s="7">
        <f>Insurance!C731</f>
        <v>36.08</v>
      </c>
    </row>
    <row r="839" spans="1:2" ht="15" customHeight="1">
      <c r="A839" s="8">
        <f>Insurance!A732</f>
        <v>35</v>
      </c>
      <c r="B839" s="7">
        <f>Insurance!C732</f>
        <v>24.42</v>
      </c>
    </row>
    <row r="840" spans="1:2" ht="15" customHeight="1">
      <c r="A840" s="8">
        <f>Insurance!A733</f>
        <v>53</v>
      </c>
      <c r="B840" s="7">
        <f>Insurance!C733</f>
        <v>21.4</v>
      </c>
    </row>
    <row r="841" spans="1:2" ht="15" customHeight="1">
      <c r="A841" s="8">
        <f>Insurance!A734</f>
        <v>24</v>
      </c>
      <c r="B841" s="7">
        <f>Insurance!C734</f>
        <v>30.1</v>
      </c>
    </row>
    <row r="842" spans="1:2" ht="15" customHeight="1">
      <c r="A842" s="8">
        <f>Insurance!A735</f>
        <v>48</v>
      </c>
      <c r="B842" s="7">
        <f>Insurance!C735</f>
        <v>27.265000000000001</v>
      </c>
    </row>
    <row r="843" spans="1:2" ht="15" customHeight="1">
      <c r="A843" s="8">
        <f>Insurance!A736</f>
        <v>59</v>
      </c>
      <c r="B843" s="7">
        <f>Insurance!C736</f>
        <v>32.1</v>
      </c>
    </row>
    <row r="844" spans="1:2" ht="15" customHeight="1">
      <c r="A844" s="8">
        <f>Insurance!A737</f>
        <v>49</v>
      </c>
      <c r="B844" s="7">
        <f>Insurance!C737</f>
        <v>34.770000000000003</v>
      </c>
    </row>
    <row r="845" spans="1:2" ht="15" customHeight="1">
      <c r="A845" s="8">
        <f>Insurance!A738</f>
        <v>37</v>
      </c>
      <c r="B845" s="7">
        <f>Insurance!C738</f>
        <v>38.39</v>
      </c>
    </row>
    <row r="846" spans="1:2" ht="15" customHeight="1">
      <c r="A846" s="8">
        <f>Insurance!A739</f>
        <v>26</v>
      </c>
      <c r="B846" s="7">
        <f>Insurance!C739</f>
        <v>23.7</v>
      </c>
    </row>
    <row r="847" spans="1:2" ht="15" customHeight="1">
      <c r="A847" s="8">
        <f>Insurance!A740</f>
        <v>23</v>
      </c>
      <c r="B847" s="7">
        <f>Insurance!C740</f>
        <v>31.73</v>
      </c>
    </row>
    <row r="848" spans="1:2" ht="15" customHeight="1">
      <c r="A848" s="8">
        <f>Insurance!A741</f>
        <v>29</v>
      </c>
      <c r="B848" s="7">
        <f>Insurance!C741</f>
        <v>35.5</v>
      </c>
    </row>
    <row r="849" spans="1:2" ht="15" customHeight="1">
      <c r="A849" s="8">
        <f>Insurance!A742</f>
        <v>45</v>
      </c>
      <c r="B849" s="7">
        <f>Insurance!C742</f>
        <v>24.035</v>
      </c>
    </row>
    <row r="850" spans="1:2" ht="15" customHeight="1">
      <c r="A850" s="8">
        <f>Insurance!A743</f>
        <v>27</v>
      </c>
      <c r="B850" s="7">
        <f>Insurance!C743</f>
        <v>29.15</v>
      </c>
    </row>
    <row r="851" spans="1:2" ht="15" customHeight="1">
      <c r="A851" s="8">
        <f>Insurance!A744</f>
        <v>53</v>
      </c>
      <c r="B851" s="7">
        <f>Insurance!C744</f>
        <v>34.104999999999997</v>
      </c>
    </row>
    <row r="852" spans="1:2" ht="15" customHeight="1">
      <c r="A852" s="8">
        <f>Insurance!A745</f>
        <v>31</v>
      </c>
      <c r="B852" s="7">
        <f>Insurance!C745</f>
        <v>26.62</v>
      </c>
    </row>
    <row r="853" spans="1:2" ht="15" customHeight="1">
      <c r="A853" s="8">
        <f>Insurance!A746</f>
        <v>50</v>
      </c>
      <c r="B853" s="7">
        <f>Insurance!C746</f>
        <v>26.41</v>
      </c>
    </row>
    <row r="854" spans="1:2" ht="15" customHeight="1">
      <c r="A854" s="8">
        <f>Insurance!A747</f>
        <v>50</v>
      </c>
      <c r="B854" s="7">
        <f>Insurance!C747</f>
        <v>30.114999999999998</v>
      </c>
    </row>
    <row r="855" spans="1:2" ht="15" customHeight="1">
      <c r="A855" s="8">
        <f>Insurance!A748</f>
        <v>34</v>
      </c>
      <c r="B855" s="7">
        <f>Insurance!C748</f>
        <v>27</v>
      </c>
    </row>
    <row r="856" spans="1:2" ht="15" customHeight="1">
      <c r="A856" s="8">
        <f>Insurance!A749</f>
        <v>19</v>
      </c>
      <c r="B856" s="7">
        <f>Insurance!C749</f>
        <v>21.754999999999999</v>
      </c>
    </row>
    <row r="857" spans="1:2" ht="15" customHeight="1">
      <c r="A857" s="8">
        <f>Insurance!A750</f>
        <v>47</v>
      </c>
      <c r="B857" s="7">
        <f>Insurance!C750</f>
        <v>36</v>
      </c>
    </row>
    <row r="858" spans="1:2" ht="15" customHeight="1">
      <c r="A858" s="8">
        <f>Insurance!A751</f>
        <v>28</v>
      </c>
      <c r="B858" s="7">
        <f>Insurance!C751</f>
        <v>30.875</v>
      </c>
    </row>
    <row r="859" spans="1:2" ht="15" customHeight="1">
      <c r="A859" s="8">
        <f>Insurance!A752</f>
        <v>37</v>
      </c>
      <c r="B859" s="7">
        <f>Insurance!C752</f>
        <v>26.4</v>
      </c>
    </row>
    <row r="860" spans="1:2" ht="15" customHeight="1">
      <c r="A860" s="8">
        <f>Insurance!A753</f>
        <v>21</v>
      </c>
      <c r="B860" s="7">
        <f>Insurance!C753</f>
        <v>28.975000000000001</v>
      </c>
    </row>
    <row r="861" spans="1:2" ht="15" customHeight="1">
      <c r="A861" s="8">
        <f>Insurance!A754</f>
        <v>64</v>
      </c>
      <c r="B861" s="7">
        <f>Insurance!C754</f>
        <v>37.905000000000001</v>
      </c>
    </row>
    <row r="862" spans="1:2" ht="15" customHeight="1">
      <c r="A862" s="8">
        <f>Insurance!A755</f>
        <v>58</v>
      </c>
      <c r="B862" s="7">
        <f>Insurance!C755</f>
        <v>22.77</v>
      </c>
    </row>
    <row r="863" spans="1:2" ht="15" customHeight="1">
      <c r="A863" s="8">
        <f>Insurance!A756</f>
        <v>24</v>
      </c>
      <c r="B863" s="7">
        <f>Insurance!C756</f>
        <v>33.630000000000003</v>
      </c>
    </row>
    <row r="864" spans="1:2" ht="15" customHeight="1">
      <c r="A864" s="8">
        <f>Insurance!A757</f>
        <v>31</v>
      </c>
      <c r="B864" s="7">
        <f>Insurance!C757</f>
        <v>27.645</v>
      </c>
    </row>
    <row r="865" spans="1:2" ht="15" customHeight="1">
      <c r="A865" s="8">
        <f>Insurance!A758</f>
        <v>39</v>
      </c>
      <c r="B865" s="7">
        <f>Insurance!C758</f>
        <v>22.8</v>
      </c>
    </row>
    <row r="866" spans="1:2" ht="15" customHeight="1">
      <c r="A866" s="8">
        <f>Insurance!A759</f>
        <v>47</v>
      </c>
      <c r="B866" s="7">
        <f>Insurance!C759</f>
        <v>27.83</v>
      </c>
    </row>
    <row r="867" spans="1:2" ht="15" customHeight="1">
      <c r="A867" s="8">
        <f>Insurance!A760</f>
        <v>30</v>
      </c>
      <c r="B867" s="7">
        <f>Insurance!C760</f>
        <v>37.43</v>
      </c>
    </row>
    <row r="868" spans="1:2" ht="15" customHeight="1">
      <c r="A868" s="8">
        <f>Insurance!A761</f>
        <v>18</v>
      </c>
      <c r="B868" s="7">
        <f>Insurance!C761</f>
        <v>38.17</v>
      </c>
    </row>
    <row r="869" spans="1:2" ht="15" customHeight="1">
      <c r="A869" s="8">
        <f>Insurance!A762</f>
        <v>22</v>
      </c>
      <c r="B869" s="7">
        <f>Insurance!C762</f>
        <v>34.58</v>
      </c>
    </row>
    <row r="870" spans="1:2" ht="15" customHeight="1">
      <c r="A870" s="8">
        <f>Insurance!A763</f>
        <v>23</v>
      </c>
      <c r="B870" s="7">
        <f>Insurance!C763</f>
        <v>35.200000000000003</v>
      </c>
    </row>
    <row r="871" spans="1:2" ht="15" customHeight="1">
      <c r="A871" s="8">
        <f>Insurance!A764</f>
        <v>33</v>
      </c>
      <c r="B871" s="7">
        <f>Insurance!C764</f>
        <v>27.1</v>
      </c>
    </row>
    <row r="872" spans="1:2" ht="15" customHeight="1">
      <c r="A872" s="8">
        <f>Insurance!A765</f>
        <v>27</v>
      </c>
      <c r="B872" s="7">
        <f>Insurance!C765</f>
        <v>26.03</v>
      </c>
    </row>
    <row r="873" spans="1:2" ht="15" customHeight="1">
      <c r="A873" s="8">
        <f>Insurance!A766</f>
        <v>45</v>
      </c>
      <c r="B873" s="7">
        <f>Insurance!C766</f>
        <v>25.175000000000001</v>
      </c>
    </row>
    <row r="874" spans="1:2" ht="15" customHeight="1">
      <c r="A874" s="8">
        <f>Insurance!A767</f>
        <v>57</v>
      </c>
      <c r="B874" s="7">
        <f>Insurance!C767</f>
        <v>31.824999999999999</v>
      </c>
    </row>
    <row r="875" spans="1:2" ht="15" customHeight="1">
      <c r="A875" s="8">
        <f>Insurance!A768</f>
        <v>47</v>
      </c>
      <c r="B875" s="7">
        <f>Insurance!C768</f>
        <v>32.299999999999997</v>
      </c>
    </row>
    <row r="876" spans="1:2" ht="15" customHeight="1">
      <c r="A876" s="8">
        <f>Insurance!A769</f>
        <v>42</v>
      </c>
      <c r="B876" s="7">
        <f>Insurance!C769</f>
        <v>29</v>
      </c>
    </row>
    <row r="877" spans="1:2" ht="15" customHeight="1">
      <c r="A877" s="8">
        <f>Insurance!A770</f>
        <v>64</v>
      </c>
      <c r="B877" s="7">
        <f>Insurance!C770</f>
        <v>39.700000000000003</v>
      </c>
    </row>
    <row r="878" spans="1:2" ht="15" customHeight="1">
      <c r="A878" s="8">
        <f>Insurance!A771</f>
        <v>38</v>
      </c>
      <c r="B878" s="7">
        <f>Insurance!C771</f>
        <v>19.475000000000001</v>
      </c>
    </row>
    <row r="879" spans="1:2" ht="15" customHeight="1">
      <c r="A879" s="8">
        <f>Insurance!A772</f>
        <v>61</v>
      </c>
      <c r="B879" s="7">
        <f>Insurance!C772</f>
        <v>36.1</v>
      </c>
    </row>
    <row r="880" spans="1:2" ht="15" customHeight="1">
      <c r="A880" s="8">
        <f>Insurance!A773</f>
        <v>53</v>
      </c>
      <c r="B880" s="7">
        <f>Insurance!C773</f>
        <v>26.7</v>
      </c>
    </row>
    <row r="881" spans="1:2" ht="15" customHeight="1">
      <c r="A881" s="8">
        <f>Insurance!A774</f>
        <v>44</v>
      </c>
      <c r="B881" s="7">
        <f>Insurance!C774</f>
        <v>36.479999999999997</v>
      </c>
    </row>
    <row r="882" spans="1:2" ht="15" customHeight="1">
      <c r="A882" s="8">
        <f>Insurance!A775</f>
        <v>19</v>
      </c>
      <c r="B882" s="7">
        <f>Insurance!C775</f>
        <v>28.88</v>
      </c>
    </row>
    <row r="883" spans="1:2" ht="15" customHeight="1">
      <c r="A883" s="8">
        <f>Insurance!A776</f>
        <v>41</v>
      </c>
      <c r="B883" s="7">
        <f>Insurance!C776</f>
        <v>34.200000000000003</v>
      </c>
    </row>
    <row r="884" spans="1:2" ht="15" customHeight="1">
      <c r="A884" s="8">
        <f>Insurance!A777</f>
        <v>51</v>
      </c>
      <c r="B884" s="7">
        <f>Insurance!C777</f>
        <v>33.33</v>
      </c>
    </row>
    <row r="885" spans="1:2" ht="15" customHeight="1">
      <c r="A885" s="8">
        <f>Insurance!A778</f>
        <v>40</v>
      </c>
      <c r="B885" s="7">
        <f>Insurance!C778</f>
        <v>32.299999999999997</v>
      </c>
    </row>
    <row r="886" spans="1:2" ht="15" customHeight="1">
      <c r="A886" s="8">
        <f>Insurance!A779</f>
        <v>45</v>
      </c>
      <c r="B886" s="7">
        <f>Insurance!C779</f>
        <v>39.805</v>
      </c>
    </row>
    <row r="887" spans="1:2" ht="15" customHeight="1">
      <c r="A887" s="8">
        <f>Insurance!A780</f>
        <v>35</v>
      </c>
      <c r="B887" s="7">
        <f>Insurance!C780</f>
        <v>34.32</v>
      </c>
    </row>
    <row r="888" spans="1:2" ht="15" customHeight="1">
      <c r="A888" s="8">
        <f>Insurance!A781</f>
        <v>53</v>
      </c>
      <c r="B888" s="7">
        <f>Insurance!C781</f>
        <v>28.88</v>
      </c>
    </row>
    <row r="889" spans="1:2" ht="15" customHeight="1">
      <c r="A889" s="8">
        <f>Insurance!A782</f>
        <v>30</v>
      </c>
      <c r="B889" s="7">
        <f>Insurance!C782</f>
        <v>24.4</v>
      </c>
    </row>
    <row r="890" spans="1:2" ht="15" customHeight="1">
      <c r="A890" s="8">
        <f>Insurance!A783</f>
        <v>18</v>
      </c>
      <c r="B890" s="7">
        <f>Insurance!C783</f>
        <v>41.14</v>
      </c>
    </row>
    <row r="891" spans="1:2" ht="15" customHeight="1">
      <c r="A891" s="8">
        <f>Insurance!A784</f>
        <v>51</v>
      </c>
      <c r="B891" s="7">
        <f>Insurance!C784</f>
        <v>35.97</v>
      </c>
    </row>
    <row r="892" spans="1:2" ht="15" customHeight="1">
      <c r="A892" s="8">
        <f>Insurance!A785</f>
        <v>50</v>
      </c>
      <c r="B892" s="7">
        <f>Insurance!C785</f>
        <v>27.6</v>
      </c>
    </row>
    <row r="893" spans="1:2" ht="15" customHeight="1">
      <c r="A893" s="8">
        <f>Insurance!A786</f>
        <v>31</v>
      </c>
      <c r="B893" s="7">
        <f>Insurance!C786</f>
        <v>29.26</v>
      </c>
    </row>
    <row r="894" spans="1:2" ht="15" customHeight="1">
      <c r="A894" s="8">
        <f>Insurance!A787</f>
        <v>35</v>
      </c>
      <c r="B894" s="7">
        <f>Insurance!C787</f>
        <v>27.7</v>
      </c>
    </row>
    <row r="895" spans="1:2" ht="15" customHeight="1">
      <c r="A895" s="8">
        <f>Insurance!A788</f>
        <v>60</v>
      </c>
      <c r="B895" s="7">
        <f>Insurance!C788</f>
        <v>36.954999999999998</v>
      </c>
    </row>
    <row r="896" spans="1:2" ht="15" customHeight="1">
      <c r="A896" s="8">
        <f>Insurance!A789</f>
        <v>21</v>
      </c>
      <c r="B896" s="7">
        <f>Insurance!C789</f>
        <v>36.86</v>
      </c>
    </row>
    <row r="897" spans="1:2" ht="15" customHeight="1">
      <c r="A897" s="8">
        <f>Insurance!A790</f>
        <v>29</v>
      </c>
      <c r="B897" s="7">
        <f>Insurance!C790</f>
        <v>22.515000000000001</v>
      </c>
    </row>
    <row r="898" spans="1:2" ht="15" customHeight="1">
      <c r="A898" s="8">
        <f>Insurance!A791</f>
        <v>62</v>
      </c>
      <c r="B898" s="7">
        <f>Insurance!C791</f>
        <v>29.92</v>
      </c>
    </row>
    <row r="899" spans="1:2" ht="15" customHeight="1">
      <c r="A899" s="8">
        <f>Insurance!A792</f>
        <v>39</v>
      </c>
      <c r="B899" s="7">
        <f>Insurance!C792</f>
        <v>41.8</v>
      </c>
    </row>
    <row r="900" spans="1:2" ht="15" customHeight="1">
      <c r="A900" s="8">
        <f>Insurance!A793</f>
        <v>19</v>
      </c>
      <c r="B900" s="7">
        <f>Insurance!C793</f>
        <v>27.6</v>
      </c>
    </row>
    <row r="901" spans="1:2" ht="15" customHeight="1">
      <c r="A901" s="8">
        <f>Insurance!A794</f>
        <v>22</v>
      </c>
      <c r="B901" s="7">
        <f>Insurance!C794</f>
        <v>23.18</v>
      </c>
    </row>
    <row r="902" spans="1:2" ht="15" customHeight="1">
      <c r="A902" s="8">
        <f>Insurance!A795</f>
        <v>53</v>
      </c>
      <c r="B902" s="7">
        <f>Insurance!C795</f>
        <v>20.9</v>
      </c>
    </row>
    <row r="903" spans="1:2" ht="15" customHeight="1">
      <c r="A903" s="8">
        <f>Insurance!A796</f>
        <v>39</v>
      </c>
      <c r="B903" s="7">
        <f>Insurance!C796</f>
        <v>31.92</v>
      </c>
    </row>
    <row r="904" spans="1:2" ht="15" customHeight="1">
      <c r="A904" s="8">
        <f>Insurance!A797</f>
        <v>27</v>
      </c>
      <c r="B904" s="7">
        <f>Insurance!C797</f>
        <v>28.5</v>
      </c>
    </row>
    <row r="905" spans="1:2" ht="15" customHeight="1">
      <c r="A905" s="8">
        <f>Insurance!A798</f>
        <v>30</v>
      </c>
      <c r="B905" s="7">
        <f>Insurance!C798</f>
        <v>44.22</v>
      </c>
    </row>
    <row r="906" spans="1:2" ht="15" customHeight="1">
      <c r="A906" s="8">
        <f>Insurance!A799</f>
        <v>30</v>
      </c>
      <c r="B906" s="7">
        <f>Insurance!C799</f>
        <v>22.895</v>
      </c>
    </row>
    <row r="907" spans="1:2" ht="15" customHeight="1">
      <c r="A907" s="8">
        <f>Insurance!A800</f>
        <v>58</v>
      </c>
      <c r="B907" s="7">
        <f>Insurance!C800</f>
        <v>33.1</v>
      </c>
    </row>
    <row r="908" spans="1:2" ht="15" customHeight="1">
      <c r="A908" s="8">
        <f>Insurance!A801</f>
        <v>33</v>
      </c>
      <c r="B908" s="7">
        <f>Insurance!C801</f>
        <v>24.795000000000002</v>
      </c>
    </row>
    <row r="909" spans="1:2" ht="15" customHeight="1">
      <c r="A909" s="8">
        <f>Insurance!A802</f>
        <v>42</v>
      </c>
      <c r="B909" s="7">
        <f>Insurance!C802</f>
        <v>26.18</v>
      </c>
    </row>
    <row r="910" spans="1:2" ht="15" customHeight="1">
      <c r="A910" s="8">
        <f>Insurance!A803</f>
        <v>64</v>
      </c>
      <c r="B910" s="7">
        <f>Insurance!C803</f>
        <v>35.97</v>
      </c>
    </row>
    <row r="911" spans="1:2" ht="15" customHeight="1">
      <c r="A911" s="8">
        <f>Insurance!A804</f>
        <v>21</v>
      </c>
      <c r="B911" s="7">
        <f>Insurance!C804</f>
        <v>22.3</v>
      </c>
    </row>
    <row r="912" spans="1:2" ht="15" customHeight="1">
      <c r="A912" s="8">
        <f>Insurance!A805</f>
        <v>18</v>
      </c>
      <c r="B912" s="7">
        <f>Insurance!C805</f>
        <v>42.24</v>
      </c>
    </row>
    <row r="913" spans="1:2" ht="15" customHeight="1">
      <c r="A913" s="8">
        <f>Insurance!A806</f>
        <v>23</v>
      </c>
      <c r="B913" s="7">
        <f>Insurance!C806</f>
        <v>26.51</v>
      </c>
    </row>
    <row r="914" spans="1:2" ht="15" customHeight="1">
      <c r="A914" s="8">
        <f>Insurance!A807</f>
        <v>45</v>
      </c>
      <c r="B914" s="7">
        <f>Insurance!C807</f>
        <v>35.814999999999998</v>
      </c>
    </row>
    <row r="915" spans="1:2" ht="15" customHeight="1">
      <c r="A915" s="8">
        <f>Insurance!A808</f>
        <v>40</v>
      </c>
      <c r="B915" s="7">
        <f>Insurance!C808</f>
        <v>41.42</v>
      </c>
    </row>
    <row r="916" spans="1:2" ht="15" customHeight="1">
      <c r="A916" s="8">
        <f>Insurance!A809</f>
        <v>19</v>
      </c>
      <c r="B916" s="7">
        <f>Insurance!C809</f>
        <v>36.575000000000003</v>
      </c>
    </row>
    <row r="917" spans="1:2" ht="15" customHeight="1">
      <c r="A917" s="8">
        <f>Insurance!A810</f>
        <v>18</v>
      </c>
      <c r="B917" s="7">
        <f>Insurance!C810</f>
        <v>30.14</v>
      </c>
    </row>
    <row r="918" spans="1:2" ht="15" customHeight="1">
      <c r="A918" s="8">
        <f>Insurance!A811</f>
        <v>25</v>
      </c>
      <c r="B918" s="7">
        <f>Insurance!C811</f>
        <v>25.84</v>
      </c>
    </row>
    <row r="919" spans="1:2" ht="15" customHeight="1">
      <c r="A919" s="8">
        <f>Insurance!A812</f>
        <v>46</v>
      </c>
      <c r="B919" s="7">
        <f>Insurance!C812</f>
        <v>30.8</v>
      </c>
    </row>
    <row r="920" spans="1:2" ht="15" customHeight="1">
      <c r="A920" s="8">
        <f>Insurance!A813</f>
        <v>33</v>
      </c>
      <c r="B920" s="7">
        <f>Insurance!C813</f>
        <v>42.94</v>
      </c>
    </row>
    <row r="921" spans="1:2" ht="15" customHeight="1">
      <c r="A921" s="8">
        <f>Insurance!A814</f>
        <v>54</v>
      </c>
      <c r="B921" s="7">
        <f>Insurance!C814</f>
        <v>21.01</v>
      </c>
    </row>
    <row r="922" spans="1:2" ht="15" customHeight="1">
      <c r="A922" s="8">
        <f>Insurance!A815</f>
        <v>28</v>
      </c>
      <c r="B922" s="7">
        <f>Insurance!C815</f>
        <v>22.515000000000001</v>
      </c>
    </row>
    <row r="923" spans="1:2" ht="15" customHeight="1">
      <c r="A923" s="8">
        <f>Insurance!A816</f>
        <v>36</v>
      </c>
      <c r="B923" s="7">
        <f>Insurance!C816</f>
        <v>34.43</v>
      </c>
    </row>
    <row r="924" spans="1:2" ht="15" customHeight="1">
      <c r="A924" s="8">
        <f>Insurance!A817</f>
        <v>20</v>
      </c>
      <c r="B924" s="7">
        <f>Insurance!C817</f>
        <v>31.46</v>
      </c>
    </row>
    <row r="925" spans="1:2" ht="15" customHeight="1">
      <c r="A925" s="8">
        <f>Insurance!A818</f>
        <v>24</v>
      </c>
      <c r="B925" s="7">
        <f>Insurance!C818</f>
        <v>24.225000000000001</v>
      </c>
    </row>
    <row r="926" spans="1:2" ht="15" customHeight="1">
      <c r="A926" s="8">
        <f>Insurance!A819</f>
        <v>23</v>
      </c>
      <c r="B926" s="7">
        <f>Insurance!C819</f>
        <v>37.1</v>
      </c>
    </row>
    <row r="927" spans="1:2" ht="15" customHeight="1">
      <c r="A927" s="8">
        <f>Insurance!A820</f>
        <v>47</v>
      </c>
      <c r="B927" s="7">
        <f>Insurance!C820</f>
        <v>26.125</v>
      </c>
    </row>
    <row r="928" spans="1:2" ht="15" customHeight="1">
      <c r="A928" s="8">
        <f>Insurance!A821</f>
        <v>33</v>
      </c>
      <c r="B928" s="7">
        <f>Insurance!C821</f>
        <v>35.53</v>
      </c>
    </row>
    <row r="929" spans="1:2" ht="15" customHeight="1">
      <c r="A929" s="8">
        <f>Insurance!A822</f>
        <v>45</v>
      </c>
      <c r="B929" s="7">
        <f>Insurance!C822</f>
        <v>33.700000000000003</v>
      </c>
    </row>
    <row r="930" spans="1:2" ht="15" customHeight="1">
      <c r="A930" s="8">
        <f>Insurance!A823</f>
        <v>26</v>
      </c>
      <c r="B930" s="7">
        <f>Insurance!C823</f>
        <v>17.670000000000002</v>
      </c>
    </row>
    <row r="931" spans="1:2" ht="15" customHeight="1">
      <c r="A931" s="8">
        <f>Insurance!A824</f>
        <v>18</v>
      </c>
      <c r="B931" s="7">
        <f>Insurance!C824</f>
        <v>31.13</v>
      </c>
    </row>
    <row r="932" spans="1:2" ht="15" customHeight="1">
      <c r="A932" s="8">
        <f>Insurance!A825</f>
        <v>44</v>
      </c>
      <c r="B932" s="7">
        <f>Insurance!C825</f>
        <v>29.81</v>
      </c>
    </row>
    <row r="933" spans="1:2" ht="15" customHeight="1">
      <c r="A933" s="8">
        <f>Insurance!A826</f>
        <v>60</v>
      </c>
      <c r="B933" s="7">
        <f>Insurance!C826</f>
        <v>24.32</v>
      </c>
    </row>
    <row r="934" spans="1:2" ht="15" customHeight="1">
      <c r="A934" s="8">
        <f>Insurance!A827</f>
        <v>64</v>
      </c>
      <c r="B934" s="7">
        <f>Insurance!C827</f>
        <v>31.824999999999999</v>
      </c>
    </row>
    <row r="935" spans="1:2" ht="15" customHeight="1">
      <c r="A935" s="8">
        <f>Insurance!A828</f>
        <v>56</v>
      </c>
      <c r="B935" s="7">
        <f>Insurance!C828</f>
        <v>31.79</v>
      </c>
    </row>
    <row r="936" spans="1:2" ht="15" customHeight="1">
      <c r="A936" s="8">
        <f>Insurance!A829</f>
        <v>36</v>
      </c>
      <c r="B936" s="7">
        <f>Insurance!C829</f>
        <v>28.024999999999999</v>
      </c>
    </row>
    <row r="937" spans="1:2" ht="15" customHeight="1">
      <c r="A937" s="8">
        <f>Insurance!A830</f>
        <v>41</v>
      </c>
      <c r="B937" s="7">
        <f>Insurance!C830</f>
        <v>30.78</v>
      </c>
    </row>
    <row r="938" spans="1:2" ht="15" customHeight="1">
      <c r="A938" s="8">
        <f>Insurance!A831</f>
        <v>39</v>
      </c>
      <c r="B938" s="7">
        <f>Insurance!C831</f>
        <v>21.85</v>
      </c>
    </row>
    <row r="939" spans="1:2" ht="15" customHeight="1">
      <c r="A939" s="8">
        <f>Insurance!A832</f>
        <v>63</v>
      </c>
      <c r="B939" s="7">
        <f>Insurance!C832</f>
        <v>33.1</v>
      </c>
    </row>
    <row r="940" spans="1:2" ht="15" customHeight="1">
      <c r="A940" s="8">
        <f>Insurance!A833</f>
        <v>36</v>
      </c>
      <c r="B940" s="7">
        <f>Insurance!C833</f>
        <v>25.84</v>
      </c>
    </row>
    <row r="941" spans="1:2" ht="15" customHeight="1">
      <c r="A941" s="8">
        <f>Insurance!A834</f>
        <v>28</v>
      </c>
      <c r="B941" s="7">
        <f>Insurance!C834</f>
        <v>23.844999999999999</v>
      </c>
    </row>
    <row r="942" spans="1:2" ht="15" customHeight="1">
      <c r="A942" s="8">
        <f>Insurance!A835</f>
        <v>58</v>
      </c>
      <c r="B942" s="7">
        <f>Insurance!C835</f>
        <v>34.39</v>
      </c>
    </row>
    <row r="943" spans="1:2" ht="15" customHeight="1">
      <c r="A943" s="8">
        <f>Insurance!A836</f>
        <v>36</v>
      </c>
      <c r="B943" s="7">
        <f>Insurance!C836</f>
        <v>33.82</v>
      </c>
    </row>
    <row r="944" spans="1:2" ht="15" customHeight="1">
      <c r="A944" s="8">
        <f>Insurance!A837</f>
        <v>42</v>
      </c>
      <c r="B944" s="7">
        <f>Insurance!C837</f>
        <v>35.97</v>
      </c>
    </row>
    <row r="945" spans="1:2" ht="15" customHeight="1">
      <c r="A945" s="8">
        <f>Insurance!A838</f>
        <v>36</v>
      </c>
      <c r="B945" s="7">
        <f>Insurance!C838</f>
        <v>31.5</v>
      </c>
    </row>
    <row r="946" spans="1:2" ht="15" customHeight="1">
      <c r="A946" s="8">
        <f>Insurance!A839</f>
        <v>56</v>
      </c>
      <c r="B946" s="7">
        <f>Insurance!C839</f>
        <v>28.31</v>
      </c>
    </row>
    <row r="947" spans="1:2" ht="15" customHeight="1">
      <c r="A947" s="8">
        <f>Insurance!A840</f>
        <v>35</v>
      </c>
      <c r="B947" s="7">
        <f>Insurance!C840</f>
        <v>23.465</v>
      </c>
    </row>
    <row r="948" spans="1:2" ht="15" customHeight="1">
      <c r="A948" s="8">
        <f>Insurance!A841</f>
        <v>59</v>
      </c>
      <c r="B948" s="7">
        <f>Insurance!C841</f>
        <v>31.35</v>
      </c>
    </row>
    <row r="949" spans="1:2" ht="15" customHeight="1">
      <c r="A949" s="8">
        <f>Insurance!A842</f>
        <v>21</v>
      </c>
      <c r="B949" s="7">
        <f>Insurance!C842</f>
        <v>31.1</v>
      </c>
    </row>
    <row r="950" spans="1:2" ht="15" customHeight="1">
      <c r="A950" s="8">
        <f>Insurance!A843</f>
        <v>59</v>
      </c>
      <c r="B950" s="7">
        <f>Insurance!C843</f>
        <v>24.7</v>
      </c>
    </row>
    <row r="951" spans="1:2" ht="15" customHeight="1">
      <c r="A951" s="8">
        <f>Insurance!A844</f>
        <v>23</v>
      </c>
      <c r="B951" s="7">
        <f>Insurance!C844</f>
        <v>32.78</v>
      </c>
    </row>
    <row r="952" spans="1:2" ht="15" customHeight="1">
      <c r="A952" s="8">
        <f>Insurance!A845</f>
        <v>57</v>
      </c>
      <c r="B952" s="7">
        <f>Insurance!C845</f>
        <v>29.81</v>
      </c>
    </row>
    <row r="953" spans="1:2" ht="15" customHeight="1">
      <c r="A953" s="8">
        <f>Insurance!A846</f>
        <v>53</v>
      </c>
      <c r="B953" s="7">
        <f>Insurance!C846</f>
        <v>30.495000000000001</v>
      </c>
    </row>
    <row r="954" spans="1:2" ht="15" customHeight="1">
      <c r="A954" s="8">
        <f>Insurance!A847</f>
        <v>60</v>
      </c>
      <c r="B954" s="7">
        <f>Insurance!C847</f>
        <v>32.450000000000003</v>
      </c>
    </row>
    <row r="955" spans="1:2" ht="15" customHeight="1">
      <c r="A955" s="8">
        <f>Insurance!A848</f>
        <v>51</v>
      </c>
      <c r="B955" s="7">
        <f>Insurance!C848</f>
        <v>34.200000000000003</v>
      </c>
    </row>
    <row r="956" spans="1:2" ht="15" customHeight="1">
      <c r="A956" s="8">
        <f>Insurance!A849</f>
        <v>23</v>
      </c>
      <c r="B956" s="7">
        <f>Insurance!C849</f>
        <v>50.38</v>
      </c>
    </row>
    <row r="957" spans="1:2" ht="15" customHeight="1">
      <c r="A957" s="8">
        <f>Insurance!A850</f>
        <v>27</v>
      </c>
      <c r="B957" s="7">
        <f>Insurance!C850</f>
        <v>24.1</v>
      </c>
    </row>
    <row r="958" spans="1:2" ht="15" customHeight="1">
      <c r="A958" s="8">
        <f>Insurance!A851</f>
        <v>55</v>
      </c>
      <c r="B958" s="7">
        <f>Insurance!C851</f>
        <v>32.774999999999999</v>
      </c>
    </row>
    <row r="959" spans="1:2" ht="15" customHeight="1">
      <c r="A959" s="8">
        <f>Insurance!A852</f>
        <v>37</v>
      </c>
      <c r="B959" s="7">
        <f>Insurance!C852</f>
        <v>30.78</v>
      </c>
    </row>
    <row r="960" spans="1:2" ht="15" customHeight="1">
      <c r="A960" s="8">
        <f>Insurance!A853</f>
        <v>61</v>
      </c>
      <c r="B960" s="7">
        <f>Insurance!C853</f>
        <v>32.299999999999997</v>
      </c>
    </row>
    <row r="961" spans="1:2" ht="15" customHeight="1">
      <c r="A961" s="8">
        <f>Insurance!A854</f>
        <v>46</v>
      </c>
      <c r="B961" s="7">
        <f>Insurance!C854</f>
        <v>35.53</v>
      </c>
    </row>
    <row r="962" spans="1:2" ht="15" customHeight="1">
      <c r="A962" s="8">
        <f>Insurance!A855</f>
        <v>53</v>
      </c>
      <c r="B962" s="7">
        <f>Insurance!C855</f>
        <v>23.75</v>
      </c>
    </row>
    <row r="963" spans="1:2" ht="15" customHeight="1">
      <c r="A963" s="8">
        <f>Insurance!A856</f>
        <v>49</v>
      </c>
      <c r="B963" s="7">
        <f>Insurance!C856</f>
        <v>23.844999999999999</v>
      </c>
    </row>
    <row r="964" spans="1:2" ht="15" customHeight="1">
      <c r="A964" s="8">
        <f>Insurance!A857</f>
        <v>20</v>
      </c>
      <c r="B964" s="7">
        <f>Insurance!C857</f>
        <v>29.6</v>
      </c>
    </row>
    <row r="965" spans="1:2" ht="15" customHeight="1">
      <c r="A965" s="8">
        <f>Insurance!A858</f>
        <v>48</v>
      </c>
      <c r="B965" s="7">
        <f>Insurance!C858</f>
        <v>33.11</v>
      </c>
    </row>
    <row r="966" spans="1:2" ht="15" customHeight="1">
      <c r="A966" s="8">
        <f>Insurance!A859</f>
        <v>25</v>
      </c>
      <c r="B966" s="7">
        <f>Insurance!C859</f>
        <v>24.13</v>
      </c>
    </row>
    <row r="967" spans="1:2" ht="15" customHeight="1">
      <c r="A967" s="8">
        <f>Insurance!A860</f>
        <v>25</v>
      </c>
      <c r="B967" s="7">
        <f>Insurance!C860</f>
        <v>32.229999999999997</v>
      </c>
    </row>
    <row r="968" spans="1:2" ht="15" customHeight="1">
      <c r="A968" s="8">
        <f>Insurance!A861</f>
        <v>57</v>
      </c>
      <c r="B968" s="7">
        <f>Insurance!C861</f>
        <v>28.1</v>
      </c>
    </row>
    <row r="969" spans="1:2" ht="15" customHeight="1">
      <c r="A969" s="8">
        <f>Insurance!A862</f>
        <v>37</v>
      </c>
      <c r="B969" s="7">
        <f>Insurance!C862</f>
        <v>47.6</v>
      </c>
    </row>
    <row r="970" spans="1:2" ht="15" customHeight="1">
      <c r="A970" s="8">
        <f>Insurance!A863</f>
        <v>38</v>
      </c>
      <c r="B970" s="7">
        <f>Insurance!C863</f>
        <v>28</v>
      </c>
    </row>
    <row r="971" spans="1:2" ht="15" customHeight="1">
      <c r="A971" s="8">
        <f>Insurance!A864</f>
        <v>55</v>
      </c>
      <c r="B971" s="7">
        <f>Insurance!C864</f>
        <v>33.534999999999997</v>
      </c>
    </row>
    <row r="972" spans="1:2" ht="15" customHeight="1">
      <c r="A972" s="8">
        <f>Insurance!A865</f>
        <v>36</v>
      </c>
      <c r="B972" s="7">
        <f>Insurance!C865</f>
        <v>19.855</v>
      </c>
    </row>
    <row r="973" spans="1:2" ht="15" customHeight="1">
      <c r="A973" s="8">
        <f>Insurance!A866</f>
        <v>51</v>
      </c>
      <c r="B973" s="7">
        <f>Insurance!C866</f>
        <v>25.4</v>
      </c>
    </row>
    <row r="974" spans="1:2" ht="15" customHeight="1">
      <c r="A974" s="8">
        <f>Insurance!A867</f>
        <v>40</v>
      </c>
      <c r="B974" s="7">
        <f>Insurance!C867</f>
        <v>29.9</v>
      </c>
    </row>
    <row r="975" spans="1:2" ht="15" customHeight="1">
      <c r="A975" s="8">
        <f>Insurance!A868</f>
        <v>18</v>
      </c>
      <c r="B975" s="7">
        <f>Insurance!C868</f>
        <v>37.29</v>
      </c>
    </row>
    <row r="976" spans="1:2" ht="15" customHeight="1">
      <c r="A976" s="8">
        <f>Insurance!A869</f>
        <v>57</v>
      </c>
      <c r="B976" s="7">
        <f>Insurance!C869</f>
        <v>43.7</v>
      </c>
    </row>
    <row r="977" spans="1:2" ht="15" customHeight="1">
      <c r="A977" s="8">
        <f>Insurance!A870</f>
        <v>61</v>
      </c>
      <c r="B977" s="7">
        <f>Insurance!C870</f>
        <v>23.655000000000001</v>
      </c>
    </row>
    <row r="978" spans="1:2" ht="15" customHeight="1">
      <c r="A978" s="8">
        <f>Insurance!A871</f>
        <v>25</v>
      </c>
      <c r="B978" s="7">
        <f>Insurance!C871</f>
        <v>24.3</v>
      </c>
    </row>
    <row r="979" spans="1:2" ht="15" customHeight="1">
      <c r="A979" s="8">
        <f>Insurance!A872</f>
        <v>50</v>
      </c>
      <c r="B979" s="7">
        <f>Insurance!C872</f>
        <v>36.200000000000003</v>
      </c>
    </row>
    <row r="980" spans="1:2" ht="15" customHeight="1">
      <c r="A980" s="8">
        <f>Insurance!A873</f>
        <v>26</v>
      </c>
      <c r="B980" s="7">
        <f>Insurance!C873</f>
        <v>29.48</v>
      </c>
    </row>
    <row r="981" spans="1:2" ht="15" customHeight="1">
      <c r="A981" s="8">
        <f>Insurance!A874</f>
        <v>42</v>
      </c>
      <c r="B981" s="7">
        <f>Insurance!C874</f>
        <v>24.86</v>
      </c>
    </row>
    <row r="982" spans="1:2" ht="15" customHeight="1">
      <c r="A982" s="8">
        <f>Insurance!A875</f>
        <v>43</v>
      </c>
      <c r="B982" s="7">
        <f>Insurance!C875</f>
        <v>30.1</v>
      </c>
    </row>
    <row r="983" spans="1:2" ht="15" customHeight="1">
      <c r="A983" s="8">
        <f>Insurance!A876</f>
        <v>44</v>
      </c>
      <c r="B983" s="7">
        <f>Insurance!C876</f>
        <v>21.85</v>
      </c>
    </row>
    <row r="984" spans="1:2" ht="15" customHeight="1">
      <c r="A984" s="8">
        <f>Insurance!A877</f>
        <v>23</v>
      </c>
      <c r="B984" s="7">
        <f>Insurance!C877</f>
        <v>28.12</v>
      </c>
    </row>
    <row r="985" spans="1:2" ht="15" customHeight="1">
      <c r="A985" s="8">
        <f>Insurance!A878</f>
        <v>49</v>
      </c>
      <c r="B985" s="7">
        <f>Insurance!C878</f>
        <v>27.1</v>
      </c>
    </row>
    <row r="986" spans="1:2" ht="15" customHeight="1">
      <c r="A986" s="8">
        <f>Insurance!A879</f>
        <v>33</v>
      </c>
      <c r="B986" s="7">
        <f>Insurance!C879</f>
        <v>33.44</v>
      </c>
    </row>
    <row r="987" spans="1:2" ht="15" customHeight="1">
      <c r="A987" s="8">
        <f>Insurance!A880</f>
        <v>41</v>
      </c>
      <c r="B987" s="7">
        <f>Insurance!C880</f>
        <v>28.8</v>
      </c>
    </row>
    <row r="988" spans="1:2" ht="15" customHeight="1">
      <c r="A988" s="8">
        <f>Insurance!A881</f>
        <v>37</v>
      </c>
      <c r="B988" s="7">
        <f>Insurance!C881</f>
        <v>29.5</v>
      </c>
    </row>
    <row r="989" spans="1:2" ht="15" customHeight="1">
      <c r="A989" s="8">
        <f>Insurance!A882</f>
        <v>22</v>
      </c>
      <c r="B989" s="7">
        <f>Insurance!C882</f>
        <v>34.799999999999997</v>
      </c>
    </row>
    <row r="990" spans="1:2" ht="15" customHeight="1">
      <c r="A990" s="8">
        <f>Insurance!A883</f>
        <v>23</v>
      </c>
      <c r="B990" s="7">
        <f>Insurance!C883</f>
        <v>27.36</v>
      </c>
    </row>
    <row r="991" spans="1:2" ht="15" customHeight="1">
      <c r="A991" s="8">
        <f>Insurance!A884</f>
        <v>21</v>
      </c>
      <c r="B991" s="7">
        <f>Insurance!C884</f>
        <v>22.135000000000002</v>
      </c>
    </row>
    <row r="992" spans="1:2" ht="15" customHeight="1">
      <c r="A992" s="8">
        <f>Insurance!A885</f>
        <v>51</v>
      </c>
      <c r="B992" s="7">
        <f>Insurance!C885</f>
        <v>37.049999999999997</v>
      </c>
    </row>
    <row r="993" spans="1:2" ht="15" customHeight="1">
      <c r="A993" s="8">
        <f>Insurance!A886</f>
        <v>25</v>
      </c>
      <c r="B993" s="7">
        <f>Insurance!C886</f>
        <v>26.695</v>
      </c>
    </row>
    <row r="994" spans="1:2" ht="15" customHeight="1">
      <c r="A994" s="8">
        <f>Insurance!A887</f>
        <v>32</v>
      </c>
      <c r="B994" s="7">
        <f>Insurance!C887</f>
        <v>28.93</v>
      </c>
    </row>
    <row r="995" spans="1:2" ht="15" customHeight="1">
      <c r="A995" s="8">
        <f>Insurance!A888</f>
        <v>57</v>
      </c>
      <c r="B995" s="7">
        <f>Insurance!C888</f>
        <v>28.975000000000001</v>
      </c>
    </row>
    <row r="996" spans="1:2" ht="15" customHeight="1">
      <c r="A996" s="8">
        <f>Insurance!A889</f>
        <v>36</v>
      </c>
      <c r="B996" s="7">
        <f>Insurance!C889</f>
        <v>30.02</v>
      </c>
    </row>
    <row r="997" spans="1:2" ht="15" customHeight="1">
      <c r="A997" s="8">
        <f>Insurance!A890</f>
        <v>22</v>
      </c>
      <c r="B997" s="7">
        <f>Insurance!C890</f>
        <v>39.5</v>
      </c>
    </row>
    <row r="998" spans="1:2" ht="15" customHeight="1">
      <c r="A998" s="8">
        <f>Insurance!A891</f>
        <v>57</v>
      </c>
      <c r="B998" s="7">
        <f>Insurance!C891</f>
        <v>33.630000000000003</v>
      </c>
    </row>
    <row r="999" spans="1:2" ht="15" customHeight="1">
      <c r="A999" s="8">
        <f>Insurance!A892</f>
        <v>64</v>
      </c>
      <c r="B999" s="7">
        <f>Insurance!C892</f>
        <v>26.885000000000002</v>
      </c>
    </row>
    <row r="1000" spans="1:2" ht="15" customHeight="1">
      <c r="A1000" s="8">
        <f>Insurance!A893</f>
        <v>36</v>
      </c>
      <c r="B1000" s="7">
        <f>Insurance!C893</f>
        <v>29.04</v>
      </c>
    </row>
    <row r="1001" spans="1:2" ht="15" customHeight="1">
      <c r="A1001" s="8">
        <f>Insurance!A894</f>
        <v>54</v>
      </c>
      <c r="B1001" s="7">
        <f>Insurance!C894</f>
        <v>24.035</v>
      </c>
    </row>
    <row r="1002" spans="1:2" ht="15" customHeight="1">
      <c r="A1002" s="8">
        <f>Insurance!A895</f>
        <v>47</v>
      </c>
      <c r="B1002" s="7">
        <f>Insurance!C895</f>
        <v>38.94</v>
      </c>
    </row>
    <row r="1003" spans="1:2" ht="15" customHeight="1">
      <c r="A1003" s="8">
        <f>Insurance!A896</f>
        <v>62</v>
      </c>
      <c r="B1003" s="7">
        <f>Insurance!C896</f>
        <v>32.11</v>
      </c>
    </row>
    <row r="1004" spans="1:2" ht="15" customHeight="1">
      <c r="A1004" s="8">
        <f>Insurance!A897</f>
        <v>61</v>
      </c>
      <c r="B1004" s="7">
        <f>Insurance!C897</f>
        <v>44</v>
      </c>
    </row>
    <row r="1005" spans="1:2" ht="15" customHeight="1">
      <c r="A1005" s="8">
        <f>Insurance!A898</f>
        <v>43</v>
      </c>
      <c r="B1005" s="7">
        <f>Insurance!C898</f>
        <v>20.045000000000002</v>
      </c>
    </row>
    <row r="1006" spans="1:2" ht="15" customHeight="1">
      <c r="A1006" s="8">
        <f>Insurance!A899</f>
        <v>19</v>
      </c>
      <c r="B1006" s="7">
        <f>Insurance!C899</f>
        <v>25.555</v>
      </c>
    </row>
    <row r="1007" spans="1:2" ht="15" customHeight="1">
      <c r="A1007" s="8">
        <f>Insurance!A900</f>
        <v>18</v>
      </c>
      <c r="B1007" s="7">
        <f>Insurance!C900</f>
        <v>40.26</v>
      </c>
    </row>
    <row r="1008" spans="1:2" ht="15" customHeight="1">
      <c r="A1008" s="8">
        <f>Insurance!A901</f>
        <v>19</v>
      </c>
      <c r="B1008" s="7">
        <f>Insurance!C901</f>
        <v>22.515000000000001</v>
      </c>
    </row>
    <row r="1009" spans="1:2" ht="15" customHeight="1">
      <c r="A1009" s="8">
        <f>Insurance!A902</f>
        <v>49</v>
      </c>
      <c r="B1009" s="7">
        <f>Insurance!C902</f>
        <v>22.515000000000001</v>
      </c>
    </row>
    <row r="1010" spans="1:2" ht="15" customHeight="1">
      <c r="A1010" s="8">
        <f>Insurance!A903</f>
        <v>60</v>
      </c>
      <c r="B1010" s="7">
        <f>Insurance!C903</f>
        <v>40.92</v>
      </c>
    </row>
    <row r="1011" spans="1:2" ht="15" customHeight="1">
      <c r="A1011" s="8">
        <f>Insurance!A904</f>
        <v>26</v>
      </c>
      <c r="B1011" s="7">
        <f>Insurance!C904</f>
        <v>27.265000000000001</v>
      </c>
    </row>
    <row r="1012" spans="1:2" ht="15" customHeight="1">
      <c r="A1012" s="8">
        <f>Insurance!A905</f>
        <v>49</v>
      </c>
      <c r="B1012" s="7">
        <f>Insurance!C905</f>
        <v>36.85</v>
      </c>
    </row>
    <row r="1013" spans="1:2" ht="15" customHeight="1">
      <c r="A1013" s="8">
        <f>Insurance!A906</f>
        <v>60</v>
      </c>
      <c r="B1013" s="7">
        <f>Insurance!C906</f>
        <v>35.1</v>
      </c>
    </row>
    <row r="1014" spans="1:2" ht="15" customHeight="1">
      <c r="A1014" s="8">
        <f>Insurance!A907</f>
        <v>26</v>
      </c>
      <c r="B1014" s="7">
        <f>Insurance!C907</f>
        <v>29.355</v>
      </c>
    </row>
    <row r="1015" spans="1:2" ht="15" customHeight="1">
      <c r="A1015" s="8">
        <f>Insurance!A908</f>
        <v>27</v>
      </c>
      <c r="B1015" s="7">
        <f>Insurance!C908</f>
        <v>32.585000000000001</v>
      </c>
    </row>
    <row r="1016" spans="1:2" ht="15" customHeight="1">
      <c r="A1016" s="8">
        <f>Insurance!A909</f>
        <v>44</v>
      </c>
      <c r="B1016" s="7">
        <f>Insurance!C909</f>
        <v>32.340000000000003</v>
      </c>
    </row>
    <row r="1017" spans="1:2" ht="15" customHeight="1">
      <c r="A1017" s="8">
        <f>Insurance!A910</f>
        <v>63</v>
      </c>
      <c r="B1017" s="7">
        <f>Insurance!C910</f>
        <v>39.799999999999997</v>
      </c>
    </row>
    <row r="1018" spans="1:2" ht="15" customHeight="1">
      <c r="A1018" s="8">
        <f>Insurance!A911</f>
        <v>32</v>
      </c>
      <c r="B1018" s="7">
        <f>Insurance!C911</f>
        <v>24.6</v>
      </c>
    </row>
    <row r="1019" spans="1:2" ht="15" customHeight="1">
      <c r="A1019" s="8">
        <f>Insurance!A912</f>
        <v>22</v>
      </c>
      <c r="B1019" s="7">
        <f>Insurance!C912</f>
        <v>28.31</v>
      </c>
    </row>
    <row r="1020" spans="1:2" ht="15" customHeight="1">
      <c r="A1020" s="8">
        <f>Insurance!A913</f>
        <v>18</v>
      </c>
      <c r="B1020" s="7">
        <f>Insurance!C913</f>
        <v>31.73</v>
      </c>
    </row>
    <row r="1021" spans="1:2" ht="15" customHeight="1">
      <c r="A1021" s="8">
        <f>Insurance!A914</f>
        <v>59</v>
      </c>
      <c r="B1021" s="7">
        <f>Insurance!C914</f>
        <v>26.695</v>
      </c>
    </row>
    <row r="1022" spans="1:2" ht="15" customHeight="1">
      <c r="A1022" s="8">
        <f>Insurance!A915</f>
        <v>44</v>
      </c>
      <c r="B1022" s="7">
        <f>Insurance!C915</f>
        <v>27.5</v>
      </c>
    </row>
    <row r="1023" spans="1:2" ht="15" customHeight="1">
      <c r="A1023" s="8">
        <f>Insurance!A916</f>
        <v>33</v>
      </c>
      <c r="B1023" s="7">
        <f>Insurance!C916</f>
        <v>24.605</v>
      </c>
    </row>
    <row r="1024" spans="1:2" ht="15" customHeight="1">
      <c r="A1024" s="8">
        <f>Insurance!A917</f>
        <v>24</v>
      </c>
      <c r="B1024" s="7">
        <f>Insurance!C917</f>
        <v>33.99</v>
      </c>
    </row>
    <row r="1025" spans="1:2" ht="15" customHeight="1">
      <c r="A1025" s="8">
        <f>Insurance!A918</f>
        <v>43</v>
      </c>
      <c r="B1025" s="7">
        <f>Insurance!C918</f>
        <v>26.885000000000002</v>
      </c>
    </row>
    <row r="1026" spans="1:2" ht="15" customHeight="1">
      <c r="A1026" s="8">
        <f>Insurance!A919</f>
        <v>45</v>
      </c>
      <c r="B1026" s="7">
        <f>Insurance!C919</f>
        <v>22.895</v>
      </c>
    </row>
    <row r="1027" spans="1:2" ht="15" customHeight="1">
      <c r="A1027" s="8">
        <f>Insurance!A920</f>
        <v>61</v>
      </c>
      <c r="B1027" s="7">
        <f>Insurance!C920</f>
        <v>28.2</v>
      </c>
    </row>
    <row r="1028" spans="1:2" ht="15" customHeight="1">
      <c r="A1028" s="8">
        <f>Insurance!A921</f>
        <v>35</v>
      </c>
      <c r="B1028" s="7">
        <f>Insurance!C921</f>
        <v>34.21</v>
      </c>
    </row>
    <row r="1029" spans="1:2" ht="15" customHeight="1">
      <c r="A1029" s="8">
        <f>Insurance!A922</f>
        <v>62</v>
      </c>
      <c r="B1029" s="7">
        <f>Insurance!C922</f>
        <v>25</v>
      </c>
    </row>
    <row r="1030" spans="1:2" ht="15" customHeight="1">
      <c r="A1030" s="8">
        <f>Insurance!A923</f>
        <v>62</v>
      </c>
      <c r="B1030" s="7">
        <f>Insurance!C923</f>
        <v>33.200000000000003</v>
      </c>
    </row>
    <row r="1031" spans="1:2" ht="15" customHeight="1">
      <c r="A1031" s="8">
        <f>Insurance!A924</f>
        <v>38</v>
      </c>
      <c r="B1031" s="7">
        <f>Insurance!C924</f>
        <v>31</v>
      </c>
    </row>
    <row r="1032" spans="1:2" ht="15" customHeight="1">
      <c r="A1032" s="8">
        <f>Insurance!A925</f>
        <v>34</v>
      </c>
      <c r="B1032" s="7">
        <f>Insurance!C925</f>
        <v>35.814999999999998</v>
      </c>
    </row>
    <row r="1033" spans="1:2" ht="15" customHeight="1">
      <c r="A1033" s="8">
        <f>Insurance!A926</f>
        <v>43</v>
      </c>
      <c r="B1033" s="7">
        <f>Insurance!C926</f>
        <v>23.2</v>
      </c>
    </row>
    <row r="1034" spans="1:2" ht="15" customHeight="1">
      <c r="A1034" s="8">
        <f>Insurance!A927</f>
        <v>50</v>
      </c>
      <c r="B1034" s="7">
        <f>Insurance!C927</f>
        <v>32.11</v>
      </c>
    </row>
    <row r="1035" spans="1:2" ht="15" customHeight="1">
      <c r="A1035" s="8">
        <f>Insurance!A928</f>
        <v>19</v>
      </c>
      <c r="B1035" s="7">
        <f>Insurance!C928</f>
        <v>23.4</v>
      </c>
    </row>
    <row r="1036" spans="1:2" ht="15" customHeight="1">
      <c r="A1036" s="8">
        <f>Insurance!A929</f>
        <v>57</v>
      </c>
      <c r="B1036" s="7">
        <f>Insurance!C929</f>
        <v>20.100000000000001</v>
      </c>
    </row>
    <row r="1037" spans="1:2" ht="15" customHeight="1">
      <c r="A1037" s="8">
        <f>Insurance!A930</f>
        <v>62</v>
      </c>
      <c r="B1037" s="7">
        <f>Insurance!C930</f>
        <v>39.159999999999997</v>
      </c>
    </row>
    <row r="1038" spans="1:2" ht="15" customHeight="1">
      <c r="A1038" s="8">
        <f>Insurance!A931</f>
        <v>41</v>
      </c>
      <c r="B1038" s="7">
        <f>Insurance!C931</f>
        <v>34.21</v>
      </c>
    </row>
    <row r="1039" spans="1:2" ht="15" customHeight="1">
      <c r="A1039" s="8">
        <f>Insurance!A932</f>
        <v>26</v>
      </c>
      <c r="B1039" s="7">
        <f>Insurance!C932</f>
        <v>46.53</v>
      </c>
    </row>
    <row r="1040" spans="1:2" ht="15" customHeight="1">
      <c r="A1040" s="8">
        <f>Insurance!A933</f>
        <v>39</v>
      </c>
      <c r="B1040" s="7">
        <f>Insurance!C933</f>
        <v>32.5</v>
      </c>
    </row>
    <row r="1041" spans="1:2" ht="15" customHeight="1">
      <c r="A1041" s="8">
        <f>Insurance!A934</f>
        <v>46</v>
      </c>
      <c r="B1041" s="7">
        <f>Insurance!C934</f>
        <v>25.8</v>
      </c>
    </row>
    <row r="1042" spans="1:2" ht="15" customHeight="1">
      <c r="A1042" s="8">
        <f>Insurance!A935</f>
        <v>45</v>
      </c>
      <c r="B1042" s="7">
        <f>Insurance!C935</f>
        <v>35.299999999999997</v>
      </c>
    </row>
    <row r="1043" spans="1:2" ht="15" customHeight="1">
      <c r="A1043" s="8">
        <f>Insurance!A936</f>
        <v>32</v>
      </c>
      <c r="B1043" s="7">
        <f>Insurance!C936</f>
        <v>37.18</v>
      </c>
    </row>
    <row r="1044" spans="1:2" ht="15" customHeight="1">
      <c r="A1044" s="8">
        <f>Insurance!A937</f>
        <v>59</v>
      </c>
      <c r="B1044" s="7">
        <f>Insurance!C937</f>
        <v>27.5</v>
      </c>
    </row>
    <row r="1045" spans="1:2" ht="15" customHeight="1">
      <c r="A1045" s="8">
        <f>Insurance!A938</f>
        <v>44</v>
      </c>
      <c r="B1045" s="7">
        <f>Insurance!C938</f>
        <v>29.734999999999999</v>
      </c>
    </row>
    <row r="1046" spans="1:2" ht="15" customHeight="1">
      <c r="A1046" s="8">
        <f>Insurance!A939</f>
        <v>39</v>
      </c>
      <c r="B1046" s="7">
        <f>Insurance!C939</f>
        <v>24.225000000000001</v>
      </c>
    </row>
    <row r="1047" spans="1:2" ht="15" customHeight="1">
      <c r="A1047" s="8">
        <f>Insurance!A940</f>
        <v>18</v>
      </c>
      <c r="B1047" s="7">
        <f>Insurance!C940</f>
        <v>26.18</v>
      </c>
    </row>
    <row r="1048" spans="1:2" ht="15" customHeight="1">
      <c r="A1048" s="8">
        <f>Insurance!A941</f>
        <v>53</v>
      </c>
      <c r="B1048" s="7">
        <f>Insurance!C941</f>
        <v>29.48</v>
      </c>
    </row>
    <row r="1049" spans="1:2" ht="15" customHeight="1">
      <c r="A1049" s="8">
        <f>Insurance!A942</f>
        <v>18</v>
      </c>
      <c r="B1049" s="7">
        <f>Insurance!C942</f>
        <v>23.21</v>
      </c>
    </row>
    <row r="1050" spans="1:2" ht="15" customHeight="1">
      <c r="A1050" s="8">
        <f>Insurance!A943</f>
        <v>50</v>
      </c>
      <c r="B1050" s="7">
        <f>Insurance!C943</f>
        <v>46.09</v>
      </c>
    </row>
    <row r="1051" spans="1:2" ht="15" customHeight="1">
      <c r="A1051" s="8">
        <f>Insurance!A944</f>
        <v>18</v>
      </c>
      <c r="B1051" s="7">
        <f>Insurance!C944</f>
        <v>40.185000000000002</v>
      </c>
    </row>
    <row r="1052" spans="1:2" ht="15" customHeight="1">
      <c r="A1052" s="8">
        <f>Insurance!A945</f>
        <v>19</v>
      </c>
      <c r="B1052" s="7">
        <f>Insurance!C945</f>
        <v>22.61</v>
      </c>
    </row>
    <row r="1053" spans="1:2" ht="15" customHeight="1">
      <c r="A1053" s="8">
        <f>Insurance!A946</f>
        <v>62</v>
      </c>
      <c r="B1053" s="7">
        <f>Insurance!C946</f>
        <v>39.93</v>
      </c>
    </row>
    <row r="1054" spans="1:2" ht="15" customHeight="1">
      <c r="A1054" s="8">
        <f>Insurance!A947</f>
        <v>56</v>
      </c>
      <c r="B1054" s="7">
        <f>Insurance!C947</f>
        <v>35.799999999999997</v>
      </c>
    </row>
    <row r="1055" spans="1:2" ht="15" customHeight="1">
      <c r="A1055" s="8">
        <f>Insurance!A948</f>
        <v>42</v>
      </c>
      <c r="B1055" s="7">
        <f>Insurance!C948</f>
        <v>35.799999999999997</v>
      </c>
    </row>
    <row r="1056" spans="1:2" ht="15" customHeight="1">
      <c r="A1056" s="8">
        <f>Insurance!A949</f>
        <v>37</v>
      </c>
      <c r="B1056" s="7">
        <f>Insurance!C949</f>
        <v>34.200000000000003</v>
      </c>
    </row>
    <row r="1057" spans="1:2" ht="15" customHeight="1">
      <c r="A1057" s="8">
        <f>Insurance!A950</f>
        <v>42</v>
      </c>
      <c r="B1057" s="7">
        <f>Insurance!C950</f>
        <v>31.254999999999999</v>
      </c>
    </row>
    <row r="1058" spans="1:2" ht="15" customHeight="1">
      <c r="A1058" s="8">
        <f>Insurance!A951</f>
        <v>25</v>
      </c>
      <c r="B1058" s="7">
        <f>Insurance!C951</f>
        <v>29.7</v>
      </c>
    </row>
    <row r="1059" spans="1:2" ht="15" customHeight="1">
      <c r="A1059" s="8">
        <f>Insurance!A952</f>
        <v>57</v>
      </c>
      <c r="B1059" s="7">
        <f>Insurance!C952</f>
        <v>18.335000000000001</v>
      </c>
    </row>
    <row r="1060" spans="1:2" ht="15" customHeight="1">
      <c r="A1060" s="8">
        <f>Insurance!A953</f>
        <v>51</v>
      </c>
      <c r="B1060" s="7">
        <f>Insurance!C953</f>
        <v>42.9</v>
      </c>
    </row>
    <row r="1061" spans="1:2" ht="15" customHeight="1">
      <c r="A1061" s="8">
        <f>Insurance!A954</f>
        <v>30</v>
      </c>
      <c r="B1061" s="7">
        <f>Insurance!C954</f>
        <v>28.405000000000001</v>
      </c>
    </row>
    <row r="1062" spans="1:2" ht="15" customHeight="1">
      <c r="A1062" s="8">
        <f>Insurance!A955</f>
        <v>44</v>
      </c>
      <c r="B1062" s="7">
        <f>Insurance!C955</f>
        <v>30.2</v>
      </c>
    </row>
    <row r="1063" spans="1:2" ht="15" customHeight="1">
      <c r="A1063" s="8">
        <f>Insurance!A956</f>
        <v>34</v>
      </c>
      <c r="B1063" s="7">
        <f>Insurance!C956</f>
        <v>27.835000000000001</v>
      </c>
    </row>
    <row r="1064" spans="1:2" ht="15" customHeight="1">
      <c r="A1064" s="8">
        <f>Insurance!A957</f>
        <v>31</v>
      </c>
      <c r="B1064" s="7">
        <f>Insurance!C957</f>
        <v>39.49</v>
      </c>
    </row>
    <row r="1065" spans="1:2" ht="15" customHeight="1">
      <c r="A1065" s="8">
        <f>Insurance!A958</f>
        <v>54</v>
      </c>
      <c r="B1065" s="7">
        <f>Insurance!C958</f>
        <v>30.8</v>
      </c>
    </row>
    <row r="1066" spans="1:2" ht="15" customHeight="1">
      <c r="A1066" s="8">
        <f>Insurance!A959</f>
        <v>24</v>
      </c>
      <c r="B1066" s="7">
        <f>Insurance!C959</f>
        <v>26.79</v>
      </c>
    </row>
    <row r="1067" spans="1:2" ht="15" customHeight="1">
      <c r="A1067" s="8">
        <f>Insurance!A960</f>
        <v>43</v>
      </c>
      <c r="B1067" s="7">
        <f>Insurance!C960</f>
        <v>34.96</v>
      </c>
    </row>
    <row r="1068" spans="1:2" ht="15" customHeight="1">
      <c r="A1068" s="8">
        <f>Insurance!A961</f>
        <v>48</v>
      </c>
      <c r="B1068" s="7">
        <f>Insurance!C961</f>
        <v>36.67</v>
      </c>
    </row>
    <row r="1069" spans="1:2" ht="15" customHeight="1">
      <c r="A1069" s="8">
        <f>Insurance!A962</f>
        <v>19</v>
      </c>
      <c r="B1069" s="7">
        <f>Insurance!C962</f>
        <v>39.615000000000002</v>
      </c>
    </row>
    <row r="1070" spans="1:2" ht="15" customHeight="1">
      <c r="A1070" s="8">
        <f>Insurance!A963</f>
        <v>29</v>
      </c>
      <c r="B1070" s="7">
        <f>Insurance!C963</f>
        <v>25.9</v>
      </c>
    </row>
    <row r="1071" spans="1:2" ht="15" customHeight="1">
      <c r="A1071" s="8">
        <f>Insurance!A964</f>
        <v>63</v>
      </c>
      <c r="B1071" s="7">
        <f>Insurance!C964</f>
        <v>35.200000000000003</v>
      </c>
    </row>
    <row r="1072" spans="1:2" ht="15" customHeight="1">
      <c r="A1072" s="8">
        <f>Insurance!A965</f>
        <v>46</v>
      </c>
      <c r="B1072" s="7">
        <f>Insurance!C965</f>
        <v>24.795000000000002</v>
      </c>
    </row>
    <row r="1073" spans="1:2" ht="15" customHeight="1">
      <c r="A1073" s="8">
        <f>Insurance!A966</f>
        <v>52</v>
      </c>
      <c r="B1073" s="7">
        <f>Insurance!C966</f>
        <v>36.765000000000001</v>
      </c>
    </row>
    <row r="1074" spans="1:2" ht="15" customHeight="1">
      <c r="A1074" s="8">
        <f>Insurance!A967</f>
        <v>35</v>
      </c>
      <c r="B1074" s="7">
        <f>Insurance!C967</f>
        <v>27.1</v>
      </c>
    </row>
    <row r="1075" spans="1:2" ht="15" customHeight="1">
      <c r="A1075" s="8">
        <f>Insurance!A968</f>
        <v>51</v>
      </c>
      <c r="B1075" s="7">
        <f>Insurance!C968</f>
        <v>24.795000000000002</v>
      </c>
    </row>
    <row r="1076" spans="1:2" ht="15" customHeight="1">
      <c r="A1076" s="8">
        <f>Insurance!A969</f>
        <v>44</v>
      </c>
      <c r="B1076" s="7">
        <f>Insurance!C969</f>
        <v>25.364999999999998</v>
      </c>
    </row>
    <row r="1077" spans="1:2" ht="15" customHeight="1">
      <c r="A1077" s="8">
        <f>Insurance!A970</f>
        <v>21</v>
      </c>
      <c r="B1077" s="7">
        <f>Insurance!C970</f>
        <v>25.745000000000001</v>
      </c>
    </row>
    <row r="1078" spans="1:2" ht="15" customHeight="1">
      <c r="A1078" s="8">
        <f>Insurance!A971</f>
        <v>39</v>
      </c>
      <c r="B1078" s="7">
        <f>Insurance!C971</f>
        <v>34.32</v>
      </c>
    </row>
    <row r="1079" spans="1:2" ht="15" customHeight="1">
      <c r="A1079" s="8">
        <f>Insurance!A972</f>
        <v>50</v>
      </c>
      <c r="B1079" s="7">
        <f>Insurance!C972</f>
        <v>28.16</v>
      </c>
    </row>
    <row r="1080" spans="1:2" ht="15" customHeight="1">
      <c r="A1080" s="8">
        <f>Insurance!A973</f>
        <v>34</v>
      </c>
      <c r="B1080" s="7">
        <f>Insurance!C973</f>
        <v>23.56</v>
      </c>
    </row>
    <row r="1081" spans="1:2" ht="15" customHeight="1">
      <c r="A1081" s="8">
        <f>Insurance!A974</f>
        <v>22</v>
      </c>
      <c r="B1081" s="7">
        <f>Insurance!C974</f>
        <v>20.234999999999999</v>
      </c>
    </row>
    <row r="1082" spans="1:2" ht="15" customHeight="1">
      <c r="A1082" s="8">
        <f>Insurance!A975</f>
        <v>19</v>
      </c>
      <c r="B1082" s="7">
        <f>Insurance!C975</f>
        <v>40.5</v>
      </c>
    </row>
    <row r="1083" spans="1:2" ht="15" customHeight="1">
      <c r="A1083" s="8">
        <f>Insurance!A976</f>
        <v>26</v>
      </c>
      <c r="B1083" s="7">
        <f>Insurance!C976</f>
        <v>35.42</v>
      </c>
    </row>
    <row r="1084" spans="1:2" ht="15" customHeight="1">
      <c r="A1084" s="8">
        <f>Insurance!A977</f>
        <v>29</v>
      </c>
      <c r="B1084" s="7">
        <f>Insurance!C977</f>
        <v>22.895</v>
      </c>
    </row>
    <row r="1085" spans="1:2" ht="15" customHeight="1">
      <c r="A1085" s="8">
        <f>Insurance!A978</f>
        <v>48</v>
      </c>
      <c r="B1085" s="7">
        <f>Insurance!C978</f>
        <v>40.15</v>
      </c>
    </row>
    <row r="1086" spans="1:2" ht="15" customHeight="1">
      <c r="A1086" s="8">
        <f>Insurance!A979</f>
        <v>26</v>
      </c>
      <c r="B1086" s="7">
        <f>Insurance!C979</f>
        <v>29.15</v>
      </c>
    </row>
    <row r="1087" spans="1:2" ht="15" customHeight="1">
      <c r="A1087" s="8">
        <f>Insurance!A980</f>
        <v>45</v>
      </c>
      <c r="B1087" s="7">
        <f>Insurance!C980</f>
        <v>39.994999999999997</v>
      </c>
    </row>
    <row r="1088" spans="1:2" ht="15" customHeight="1">
      <c r="A1088" s="8">
        <f>Insurance!A981</f>
        <v>36</v>
      </c>
      <c r="B1088" s="7">
        <f>Insurance!C981</f>
        <v>29.92</v>
      </c>
    </row>
    <row r="1089" spans="1:2" ht="15" customHeight="1">
      <c r="A1089" s="8">
        <f>Insurance!A982</f>
        <v>54</v>
      </c>
      <c r="B1089" s="7">
        <f>Insurance!C982</f>
        <v>25.46</v>
      </c>
    </row>
    <row r="1090" spans="1:2" ht="15" customHeight="1">
      <c r="A1090" s="8">
        <f>Insurance!A983</f>
        <v>34</v>
      </c>
      <c r="B1090" s="7">
        <f>Insurance!C983</f>
        <v>21.375</v>
      </c>
    </row>
    <row r="1091" spans="1:2" ht="15" customHeight="1">
      <c r="A1091" s="8">
        <f>Insurance!A984</f>
        <v>31</v>
      </c>
      <c r="B1091" s="7">
        <f>Insurance!C984</f>
        <v>25.9</v>
      </c>
    </row>
    <row r="1092" spans="1:2" ht="15" customHeight="1">
      <c r="A1092" s="8">
        <f>Insurance!A985</f>
        <v>27</v>
      </c>
      <c r="B1092" s="7">
        <f>Insurance!C985</f>
        <v>30.59</v>
      </c>
    </row>
    <row r="1093" spans="1:2" ht="15" customHeight="1">
      <c r="A1093" s="8">
        <f>Insurance!A986</f>
        <v>20</v>
      </c>
      <c r="B1093" s="7">
        <f>Insurance!C986</f>
        <v>30.114999999999998</v>
      </c>
    </row>
    <row r="1094" spans="1:2" ht="15" customHeight="1">
      <c r="A1094" s="8">
        <f>Insurance!A987</f>
        <v>44</v>
      </c>
      <c r="B1094" s="7">
        <f>Insurance!C987</f>
        <v>25.8</v>
      </c>
    </row>
    <row r="1095" spans="1:2" ht="15" customHeight="1">
      <c r="A1095" s="8">
        <f>Insurance!A988</f>
        <v>43</v>
      </c>
      <c r="B1095" s="7">
        <f>Insurance!C988</f>
        <v>30.114999999999998</v>
      </c>
    </row>
    <row r="1096" spans="1:2" ht="15" customHeight="1">
      <c r="A1096" s="8">
        <f>Insurance!A989</f>
        <v>45</v>
      </c>
      <c r="B1096" s="7">
        <f>Insurance!C989</f>
        <v>27.645</v>
      </c>
    </row>
    <row r="1097" spans="1:2" ht="15" customHeight="1">
      <c r="A1097" s="8">
        <f>Insurance!A990</f>
        <v>34</v>
      </c>
      <c r="B1097" s="7">
        <f>Insurance!C990</f>
        <v>34.674999999999997</v>
      </c>
    </row>
    <row r="1098" spans="1:2" ht="15" customHeight="1">
      <c r="A1098" s="8">
        <f>Insurance!A991</f>
        <v>24</v>
      </c>
      <c r="B1098" s="7">
        <f>Insurance!C991</f>
        <v>20.52</v>
      </c>
    </row>
    <row r="1099" spans="1:2" ht="15" customHeight="1">
      <c r="A1099" s="8">
        <f>Insurance!A992</f>
        <v>26</v>
      </c>
      <c r="B1099" s="7">
        <f>Insurance!C992</f>
        <v>19.8</v>
      </c>
    </row>
    <row r="1100" spans="1:2" ht="15" customHeight="1">
      <c r="A1100" s="8">
        <f>Insurance!A993</f>
        <v>38</v>
      </c>
      <c r="B1100" s="7">
        <f>Insurance!C993</f>
        <v>27.835000000000001</v>
      </c>
    </row>
    <row r="1101" spans="1:2" ht="15" customHeight="1">
      <c r="A1101" s="8">
        <f>Insurance!A994</f>
        <v>50</v>
      </c>
      <c r="B1101" s="7">
        <f>Insurance!C994</f>
        <v>31.6</v>
      </c>
    </row>
    <row r="1102" spans="1:2" ht="15" customHeight="1">
      <c r="A1102" s="8">
        <f>Insurance!A995</f>
        <v>38</v>
      </c>
      <c r="B1102" s="7">
        <f>Insurance!C995</f>
        <v>28.27</v>
      </c>
    </row>
    <row r="1103" spans="1:2" ht="15" customHeight="1">
      <c r="A1103" s="8">
        <f>Insurance!A996</f>
        <v>27</v>
      </c>
      <c r="B1103" s="7">
        <f>Insurance!C996</f>
        <v>20.045000000000002</v>
      </c>
    </row>
    <row r="1104" spans="1:2" ht="15" customHeight="1">
      <c r="A1104" s="8">
        <f>Insurance!A997</f>
        <v>39</v>
      </c>
      <c r="B1104" s="7">
        <f>Insurance!C997</f>
        <v>23.274999999999999</v>
      </c>
    </row>
    <row r="1105" spans="1:2" ht="15" customHeight="1">
      <c r="A1105" s="8">
        <f>Insurance!A998</f>
        <v>39</v>
      </c>
      <c r="B1105" s="7">
        <f>Insurance!C998</f>
        <v>34.1</v>
      </c>
    </row>
    <row r="1106" spans="1:2" ht="15" customHeight="1">
      <c r="A1106" s="8">
        <f>Insurance!A999</f>
        <v>63</v>
      </c>
      <c r="B1106" s="7">
        <f>Insurance!C999</f>
        <v>36.85</v>
      </c>
    </row>
    <row r="1107" spans="1:2" ht="15" customHeight="1">
      <c r="A1107" s="8">
        <f>Insurance!A1000</f>
        <v>33</v>
      </c>
      <c r="B1107" s="7">
        <f>Insurance!C1000</f>
        <v>36.29</v>
      </c>
    </row>
    <row r="1108" spans="1:2" ht="15" customHeight="1">
      <c r="A1108" s="8">
        <f>Insurance!A1001</f>
        <v>36</v>
      </c>
      <c r="B1108" s="7">
        <f>Insurance!C1001</f>
        <v>26.885000000000002</v>
      </c>
    </row>
    <row r="1109" spans="1:2" ht="15" customHeight="1">
      <c r="A1109" s="8">
        <f>Insurance!A1002</f>
        <v>30</v>
      </c>
      <c r="B1109" s="7">
        <f>Insurance!C1002</f>
        <v>22.99</v>
      </c>
    </row>
    <row r="1110" spans="1:2" ht="15" customHeight="1">
      <c r="A1110" s="8">
        <f>Insurance!A1003</f>
        <v>24</v>
      </c>
      <c r="B1110" s="7">
        <f>Insurance!C1003</f>
        <v>32.700000000000003</v>
      </c>
    </row>
    <row r="1111" spans="1:2" ht="15" customHeight="1">
      <c r="A1111" s="8">
        <f>Insurance!A1004</f>
        <v>24</v>
      </c>
      <c r="B1111" s="7">
        <f>Insurance!C1004</f>
        <v>25.8</v>
      </c>
    </row>
    <row r="1112" spans="1:2" ht="15" customHeight="1">
      <c r="A1112" s="8">
        <f>Insurance!A1005</f>
        <v>48</v>
      </c>
      <c r="B1112" s="7">
        <f>Insurance!C1005</f>
        <v>29.6</v>
      </c>
    </row>
    <row r="1113" spans="1:2" ht="15" customHeight="1">
      <c r="A1113" s="8">
        <f>Insurance!A1006</f>
        <v>47</v>
      </c>
      <c r="B1113" s="7">
        <f>Insurance!C1006</f>
        <v>19.190000000000001</v>
      </c>
    </row>
    <row r="1114" spans="1:2" ht="15" customHeight="1">
      <c r="A1114" s="8">
        <f>Insurance!A1007</f>
        <v>29</v>
      </c>
      <c r="B1114" s="7">
        <f>Insurance!C1007</f>
        <v>31.73</v>
      </c>
    </row>
    <row r="1115" spans="1:2" ht="15" customHeight="1">
      <c r="A1115" s="8">
        <f>Insurance!A1008</f>
        <v>28</v>
      </c>
      <c r="B1115" s="7">
        <f>Insurance!C1008</f>
        <v>29.26</v>
      </c>
    </row>
    <row r="1116" spans="1:2" ht="15" customHeight="1">
      <c r="A1116" s="8">
        <f>Insurance!A1009</f>
        <v>47</v>
      </c>
      <c r="B1116" s="7">
        <f>Insurance!C1009</f>
        <v>28.215</v>
      </c>
    </row>
    <row r="1117" spans="1:2" ht="15" customHeight="1">
      <c r="A1117" s="8">
        <f>Insurance!A1010</f>
        <v>25</v>
      </c>
      <c r="B1117" s="7">
        <f>Insurance!C1010</f>
        <v>24.984999999999999</v>
      </c>
    </row>
    <row r="1118" spans="1:2" ht="15" customHeight="1">
      <c r="A1118" s="8">
        <f>Insurance!A1011</f>
        <v>51</v>
      </c>
      <c r="B1118" s="7">
        <f>Insurance!C1011</f>
        <v>27.74</v>
      </c>
    </row>
    <row r="1119" spans="1:2" ht="15" customHeight="1">
      <c r="A1119" s="8">
        <f>Insurance!A1012</f>
        <v>48</v>
      </c>
      <c r="B1119" s="7">
        <f>Insurance!C1012</f>
        <v>22.8</v>
      </c>
    </row>
    <row r="1120" spans="1:2" ht="15" customHeight="1">
      <c r="A1120" s="8">
        <f>Insurance!A1013</f>
        <v>43</v>
      </c>
      <c r="B1120" s="7">
        <f>Insurance!C1013</f>
        <v>20.13</v>
      </c>
    </row>
    <row r="1121" spans="1:2" ht="15" customHeight="1">
      <c r="A1121" s="8">
        <f>Insurance!A1014</f>
        <v>61</v>
      </c>
      <c r="B1121" s="7">
        <f>Insurance!C1014</f>
        <v>33.33</v>
      </c>
    </row>
    <row r="1122" spans="1:2" ht="15" customHeight="1">
      <c r="A1122" s="8">
        <f>Insurance!A1015</f>
        <v>48</v>
      </c>
      <c r="B1122" s="7">
        <f>Insurance!C1015</f>
        <v>32.299999999999997</v>
      </c>
    </row>
    <row r="1123" spans="1:2" ht="15" customHeight="1">
      <c r="A1123" s="8">
        <f>Insurance!A1016</f>
        <v>38</v>
      </c>
      <c r="B1123" s="7">
        <f>Insurance!C1016</f>
        <v>27.6</v>
      </c>
    </row>
    <row r="1124" spans="1:2" ht="15" customHeight="1">
      <c r="A1124" s="8">
        <f>Insurance!A1017</f>
        <v>59</v>
      </c>
      <c r="B1124" s="7">
        <f>Insurance!C1017</f>
        <v>25.46</v>
      </c>
    </row>
    <row r="1125" spans="1:2" ht="15" customHeight="1">
      <c r="A1125" s="8">
        <f>Insurance!A1018</f>
        <v>19</v>
      </c>
      <c r="B1125" s="7">
        <f>Insurance!C1018</f>
        <v>24.605</v>
      </c>
    </row>
    <row r="1126" spans="1:2" ht="15" customHeight="1">
      <c r="A1126" s="8">
        <f>Insurance!A1019</f>
        <v>26</v>
      </c>
      <c r="B1126" s="7">
        <f>Insurance!C1019</f>
        <v>34.200000000000003</v>
      </c>
    </row>
    <row r="1127" spans="1:2" ht="15" customHeight="1">
      <c r="A1127" s="8">
        <f>Insurance!A1020</f>
        <v>54</v>
      </c>
      <c r="B1127" s="7">
        <f>Insurance!C1020</f>
        <v>35.814999999999998</v>
      </c>
    </row>
    <row r="1128" spans="1:2" ht="15" customHeight="1">
      <c r="A1128" s="8">
        <f>Insurance!A1021</f>
        <v>21</v>
      </c>
      <c r="B1128" s="7">
        <f>Insurance!C1021</f>
        <v>32.68</v>
      </c>
    </row>
    <row r="1129" spans="1:2" ht="15" customHeight="1">
      <c r="A1129" s="8">
        <f>Insurance!A1022</f>
        <v>51</v>
      </c>
      <c r="B1129" s="7">
        <f>Insurance!C1022</f>
        <v>37</v>
      </c>
    </row>
    <row r="1130" spans="1:2" ht="15" customHeight="1">
      <c r="A1130" s="8">
        <f>Insurance!A1023</f>
        <v>22</v>
      </c>
      <c r="B1130" s="7">
        <f>Insurance!C1023</f>
        <v>31.02</v>
      </c>
    </row>
    <row r="1131" spans="1:2" ht="15" customHeight="1">
      <c r="A1131" s="8">
        <f>Insurance!A1024</f>
        <v>47</v>
      </c>
      <c r="B1131" s="7">
        <f>Insurance!C1024</f>
        <v>36.08</v>
      </c>
    </row>
    <row r="1132" spans="1:2" ht="15" customHeight="1">
      <c r="A1132" s="8">
        <f>Insurance!A1025</f>
        <v>18</v>
      </c>
      <c r="B1132" s="7">
        <f>Insurance!C1025</f>
        <v>23.32</v>
      </c>
    </row>
    <row r="1133" spans="1:2" ht="15" customHeight="1">
      <c r="A1133" s="8">
        <f>Insurance!A1026</f>
        <v>47</v>
      </c>
      <c r="B1133" s="7">
        <f>Insurance!C1026</f>
        <v>45.32</v>
      </c>
    </row>
    <row r="1134" spans="1:2" ht="15" customHeight="1">
      <c r="A1134" s="8">
        <f>Insurance!A1027</f>
        <v>21</v>
      </c>
      <c r="B1134" s="7">
        <f>Insurance!C1027</f>
        <v>34.6</v>
      </c>
    </row>
    <row r="1135" spans="1:2" ht="15" customHeight="1">
      <c r="A1135" s="8">
        <f>Insurance!A1028</f>
        <v>19</v>
      </c>
      <c r="B1135" s="7">
        <f>Insurance!C1028</f>
        <v>26.03</v>
      </c>
    </row>
    <row r="1136" spans="1:2" ht="15" customHeight="1">
      <c r="A1136" s="8">
        <f>Insurance!A1029</f>
        <v>23</v>
      </c>
      <c r="B1136" s="7">
        <f>Insurance!C1029</f>
        <v>18.715</v>
      </c>
    </row>
    <row r="1137" spans="1:2" ht="15" customHeight="1">
      <c r="A1137" s="8">
        <f>Insurance!A1030</f>
        <v>54</v>
      </c>
      <c r="B1137" s="7">
        <f>Insurance!C1030</f>
        <v>31.6</v>
      </c>
    </row>
    <row r="1138" spans="1:2" ht="15" customHeight="1">
      <c r="A1138" s="8">
        <f>Insurance!A1031</f>
        <v>37</v>
      </c>
      <c r="B1138" s="7">
        <f>Insurance!C1031</f>
        <v>17.29</v>
      </c>
    </row>
    <row r="1139" spans="1:2" ht="15" customHeight="1">
      <c r="A1139" s="8">
        <f>Insurance!A1032</f>
        <v>46</v>
      </c>
      <c r="B1139" s="7">
        <f>Insurance!C1032</f>
        <v>23.655000000000001</v>
      </c>
    </row>
    <row r="1140" spans="1:2" ht="15" customHeight="1">
      <c r="A1140" s="8">
        <f>Insurance!A1033</f>
        <v>55</v>
      </c>
      <c r="B1140" s="7">
        <f>Insurance!C1033</f>
        <v>35.200000000000003</v>
      </c>
    </row>
    <row r="1141" spans="1:2" ht="15" customHeight="1">
      <c r="A1141" s="8">
        <f>Insurance!A1034</f>
        <v>30</v>
      </c>
      <c r="B1141" s="7">
        <f>Insurance!C1034</f>
        <v>27.93</v>
      </c>
    </row>
    <row r="1142" spans="1:2" ht="15" customHeight="1">
      <c r="A1142" s="8">
        <f>Insurance!A1035</f>
        <v>18</v>
      </c>
      <c r="B1142" s="7">
        <f>Insurance!C1035</f>
        <v>21.565000000000001</v>
      </c>
    </row>
    <row r="1143" spans="1:2" ht="15" customHeight="1">
      <c r="A1143" s="8">
        <f>Insurance!A1036</f>
        <v>61</v>
      </c>
      <c r="B1143" s="7">
        <f>Insurance!C1036</f>
        <v>38.380000000000003</v>
      </c>
    </row>
    <row r="1144" spans="1:2" ht="15" customHeight="1">
      <c r="A1144" s="8">
        <f>Insurance!A1037</f>
        <v>54</v>
      </c>
      <c r="B1144" s="7">
        <f>Insurance!C1037</f>
        <v>23</v>
      </c>
    </row>
    <row r="1145" spans="1:2" ht="15" customHeight="1">
      <c r="A1145" s="8">
        <f>Insurance!A1038</f>
        <v>22</v>
      </c>
      <c r="B1145" s="7">
        <f>Insurance!C1038</f>
        <v>37.07</v>
      </c>
    </row>
    <row r="1146" spans="1:2" ht="15" customHeight="1">
      <c r="A1146" s="8">
        <f>Insurance!A1039</f>
        <v>45</v>
      </c>
      <c r="B1146" s="7">
        <f>Insurance!C1039</f>
        <v>30.495000000000001</v>
      </c>
    </row>
    <row r="1147" spans="1:2" ht="15" customHeight="1">
      <c r="A1147" s="8">
        <f>Insurance!A1040</f>
        <v>22</v>
      </c>
      <c r="B1147" s="7">
        <f>Insurance!C1040</f>
        <v>28.88</v>
      </c>
    </row>
    <row r="1148" spans="1:2" ht="15" customHeight="1">
      <c r="A1148" s="8">
        <f>Insurance!A1041</f>
        <v>19</v>
      </c>
      <c r="B1148" s="7">
        <f>Insurance!C1041</f>
        <v>27.265000000000001</v>
      </c>
    </row>
    <row r="1149" spans="1:2" ht="15" customHeight="1">
      <c r="A1149" s="8">
        <f>Insurance!A1042</f>
        <v>35</v>
      </c>
      <c r="B1149" s="7">
        <f>Insurance!C1042</f>
        <v>28.024999999999999</v>
      </c>
    </row>
    <row r="1150" spans="1:2" ht="15" customHeight="1">
      <c r="A1150" s="8">
        <f>Insurance!A1043</f>
        <v>18</v>
      </c>
      <c r="B1150" s="7">
        <f>Insurance!C1043</f>
        <v>23.085000000000001</v>
      </c>
    </row>
    <row r="1151" spans="1:2" ht="15" customHeight="1">
      <c r="A1151" s="8">
        <f>Insurance!A1044</f>
        <v>20</v>
      </c>
      <c r="B1151" s="7">
        <f>Insurance!C1044</f>
        <v>30.684999999999999</v>
      </c>
    </row>
    <row r="1152" spans="1:2" ht="15" customHeight="1">
      <c r="A1152" s="8">
        <f>Insurance!A1045</f>
        <v>28</v>
      </c>
      <c r="B1152" s="7">
        <f>Insurance!C1045</f>
        <v>25.8</v>
      </c>
    </row>
    <row r="1153" spans="1:2" ht="15" customHeight="1">
      <c r="A1153" s="8">
        <f>Insurance!A1046</f>
        <v>55</v>
      </c>
      <c r="B1153" s="7">
        <f>Insurance!C1046</f>
        <v>35.244999999999997</v>
      </c>
    </row>
    <row r="1154" spans="1:2" ht="15" customHeight="1">
      <c r="A1154" s="8">
        <f>Insurance!A1047</f>
        <v>43</v>
      </c>
      <c r="B1154" s="7">
        <f>Insurance!C1047</f>
        <v>24.7</v>
      </c>
    </row>
    <row r="1155" spans="1:2" ht="15" customHeight="1">
      <c r="A1155" s="8">
        <f>Insurance!A1048</f>
        <v>43</v>
      </c>
      <c r="B1155" s="7">
        <f>Insurance!C1048</f>
        <v>25.08</v>
      </c>
    </row>
    <row r="1156" spans="1:2" ht="15" customHeight="1">
      <c r="A1156" s="8">
        <f>Insurance!A1049</f>
        <v>22</v>
      </c>
      <c r="B1156" s="7">
        <f>Insurance!C1049</f>
        <v>52.58</v>
      </c>
    </row>
    <row r="1157" spans="1:2" ht="15" customHeight="1">
      <c r="A1157" s="8">
        <f>Insurance!A1050</f>
        <v>25</v>
      </c>
      <c r="B1157" s="7">
        <f>Insurance!C1050</f>
        <v>22.515000000000001</v>
      </c>
    </row>
    <row r="1158" spans="1:2" ht="15" customHeight="1">
      <c r="A1158" s="8">
        <f>Insurance!A1051</f>
        <v>49</v>
      </c>
      <c r="B1158" s="7">
        <f>Insurance!C1051</f>
        <v>30.9</v>
      </c>
    </row>
    <row r="1159" spans="1:2" ht="15" customHeight="1">
      <c r="A1159" s="8">
        <f>Insurance!A1052</f>
        <v>44</v>
      </c>
      <c r="B1159" s="7">
        <f>Insurance!C1052</f>
        <v>36.954999999999998</v>
      </c>
    </row>
    <row r="1160" spans="1:2" ht="15" customHeight="1">
      <c r="A1160" s="8">
        <f>Insurance!A1053</f>
        <v>64</v>
      </c>
      <c r="B1160" s="7">
        <f>Insurance!C1053</f>
        <v>26.41</v>
      </c>
    </row>
    <row r="1161" spans="1:2" ht="15" customHeight="1">
      <c r="A1161" s="8">
        <f>Insurance!A1054</f>
        <v>49</v>
      </c>
      <c r="B1161" s="7">
        <f>Insurance!C1054</f>
        <v>29.83</v>
      </c>
    </row>
    <row r="1162" spans="1:2" ht="15" customHeight="1">
      <c r="A1162" s="8">
        <f>Insurance!A1055</f>
        <v>47</v>
      </c>
      <c r="B1162" s="7">
        <f>Insurance!C1055</f>
        <v>29.8</v>
      </c>
    </row>
    <row r="1163" spans="1:2" ht="15" customHeight="1">
      <c r="A1163" s="8">
        <f>Insurance!A1056</f>
        <v>27</v>
      </c>
      <c r="B1163" s="7">
        <f>Insurance!C1056</f>
        <v>21.47</v>
      </c>
    </row>
    <row r="1164" spans="1:2" ht="15" customHeight="1">
      <c r="A1164" s="8">
        <f>Insurance!A1057</f>
        <v>55</v>
      </c>
      <c r="B1164" s="7">
        <f>Insurance!C1057</f>
        <v>27.645</v>
      </c>
    </row>
    <row r="1165" spans="1:2" ht="15" customHeight="1">
      <c r="A1165" s="8">
        <f>Insurance!A1058</f>
        <v>48</v>
      </c>
      <c r="B1165" s="7">
        <f>Insurance!C1058</f>
        <v>28.9</v>
      </c>
    </row>
    <row r="1166" spans="1:2" ht="15" customHeight="1">
      <c r="A1166" s="8">
        <f>Insurance!A1059</f>
        <v>45</v>
      </c>
      <c r="B1166" s="7">
        <f>Insurance!C1059</f>
        <v>31.79</v>
      </c>
    </row>
    <row r="1167" spans="1:2" ht="15" customHeight="1">
      <c r="A1167" s="8">
        <f>Insurance!A1060</f>
        <v>24</v>
      </c>
      <c r="B1167" s="7">
        <f>Insurance!C1060</f>
        <v>39.49</v>
      </c>
    </row>
    <row r="1168" spans="1:2" ht="15" customHeight="1">
      <c r="A1168" s="8">
        <f>Insurance!A1061</f>
        <v>32</v>
      </c>
      <c r="B1168" s="7">
        <f>Insurance!C1061</f>
        <v>33.82</v>
      </c>
    </row>
    <row r="1169" spans="1:2" ht="15" customHeight="1">
      <c r="A1169" s="8">
        <f>Insurance!A1062</f>
        <v>24</v>
      </c>
      <c r="B1169" s="7">
        <f>Insurance!C1062</f>
        <v>32.01</v>
      </c>
    </row>
    <row r="1170" spans="1:2" ht="15" customHeight="1">
      <c r="A1170" s="8">
        <f>Insurance!A1063</f>
        <v>57</v>
      </c>
      <c r="B1170" s="7">
        <f>Insurance!C1063</f>
        <v>27.94</v>
      </c>
    </row>
    <row r="1171" spans="1:2" ht="15" customHeight="1">
      <c r="A1171" s="8">
        <f>Insurance!A1064</f>
        <v>59</v>
      </c>
      <c r="B1171" s="7">
        <f>Insurance!C1064</f>
        <v>41.14</v>
      </c>
    </row>
    <row r="1172" spans="1:2" ht="15" customHeight="1">
      <c r="A1172" s="8">
        <f>Insurance!A1065</f>
        <v>36</v>
      </c>
      <c r="B1172" s="7">
        <f>Insurance!C1065</f>
        <v>28.594999999999999</v>
      </c>
    </row>
    <row r="1173" spans="1:2" ht="15" customHeight="1">
      <c r="A1173" s="8">
        <f>Insurance!A1066</f>
        <v>29</v>
      </c>
      <c r="B1173" s="7">
        <f>Insurance!C1066</f>
        <v>25.6</v>
      </c>
    </row>
    <row r="1174" spans="1:2" ht="15" customHeight="1">
      <c r="A1174" s="8">
        <f>Insurance!A1067</f>
        <v>42</v>
      </c>
      <c r="B1174" s="7">
        <f>Insurance!C1067</f>
        <v>25.3</v>
      </c>
    </row>
    <row r="1175" spans="1:2" ht="15" customHeight="1">
      <c r="A1175" s="8">
        <f>Insurance!A1068</f>
        <v>48</v>
      </c>
      <c r="B1175" s="7">
        <f>Insurance!C1068</f>
        <v>37.29</v>
      </c>
    </row>
    <row r="1176" spans="1:2" ht="15" customHeight="1">
      <c r="A1176" s="8">
        <f>Insurance!A1069</f>
        <v>39</v>
      </c>
      <c r="B1176" s="7">
        <f>Insurance!C1069</f>
        <v>42.655000000000001</v>
      </c>
    </row>
    <row r="1177" spans="1:2" ht="15" customHeight="1">
      <c r="A1177" s="8">
        <f>Insurance!A1070</f>
        <v>63</v>
      </c>
      <c r="B1177" s="7">
        <f>Insurance!C1070</f>
        <v>21.66</v>
      </c>
    </row>
    <row r="1178" spans="1:2" ht="15" customHeight="1">
      <c r="A1178" s="8">
        <f>Insurance!A1071</f>
        <v>54</v>
      </c>
      <c r="B1178" s="7">
        <f>Insurance!C1071</f>
        <v>31.9</v>
      </c>
    </row>
    <row r="1179" spans="1:2" ht="15" customHeight="1">
      <c r="A1179" s="8">
        <f>Insurance!A1072</f>
        <v>37</v>
      </c>
      <c r="B1179" s="7">
        <f>Insurance!C1072</f>
        <v>37.07</v>
      </c>
    </row>
    <row r="1180" spans="1:2" ht="15" customHeight="1">
      <c r="A1180" s="8">
        <f>Insurance!A1073</f>
        <v>63</v>
      </c>
      <c r="B1180" s="7">
        <f>Insurance!C1073</f>
        <v>31.445</v>
      </c>
    </row>
    <row r="1181" spans="1:2" ht="15" customHeight="1">
      <c r="A1181" s="8">
        <f>Insurance!A1074</f>
        <v>21</v>
      </c>
      <c r="B1181" s="7">
        <f>Insurance!C1074</f>
        <v>31.254999999999999</v>
      </c>
    </row>
    <row r="1182" spans="1:2" ht="15" customHeight="1">
      <c r="A1182" s="8">
        <f>Insurance!A1075</f>
        <v>54</v>
      </c>
      <c r="B1182" s="7">
        <f>Insurance!C1075</f>
        <v>28.88</v>
      </c>
    </row>
    <row r="1183" spans="1:2" ht="15" customHeight="1">
      <c r="A1183" s="8">
        <f>Insurance!A1076</f>
        <v>60</v>
      </c>
      <c r="B1183" s="7">
        <f>Insurance!C1076</f>
        <v>18.335000000000001</v>
      </c>
    </row>
    <row r="1184" spans="1:2" ht="15" customHeight="1">
      <c r="A1184" s="8">
        <f>Insurance!A1077</f>
        <v>32</v>
      </c>
      <c r="B1184" s="7">
        <f>Insurance!C1077</f>
        <v>29.59</v>
      </c>
    </row>
    <row r="1185" spans="1:2" ht="15" customHeight="1">
      <c r="A1185" s="8">
        <f>Insurance!A1078</f>
        <v>47</v>
      </c>
      <c r="B1185" s="7">
        <f>Insurance!C1078</f>
        <v>32</v>
      </c>
    </row>
    <row r="1186" spans="1:2" ht="15" customHeight="1">
      <c r="A1186" s="8">
        <f>Insurance!A1079</f>
        <v>21</v>
      </c>
      <c r="B1186" s="7">
        <f>Insurance!C1079</f>
        <v>26.03</v>
      </c>
    </row>
    <row r="1187" spans="1:2" ht="15" customHeight="1">
      <c r="A1187" s="8">
        <f>Insurance!A1080</f>
        <v>28</v>
      </c>
      <c r="B1187" s="7">
        <f>Insurance!C1080</f>
        <v>31.68</v>
      </c>
    </row>
    <row r="1188" spans="1:2" ht="15" customHeight="1">
      <c r="A1188" s="8">
        <f>Insurance!A1081</f>
        <v>63</v>
      </c>
      <c r="B1188" s="7">
        <f>Insurance!C1081</f>
        <v>33.659999999999997</v>
      </c>
    </row>
    <row r="1189" spans="1:2" ht="15" customHeight="1">
      <c r="A1189" s="8">
        <f>Insurance!A1082</f>
        <v>18</v>
      </c>
      <c r="B1189" s="7">
        <f>Insurance!C1082</f>
        <v>21.78</v>
      </c>
    </row>
    <row r="1190" spans="1:2" ht="15" customHeight="1">
      <c r="A1190" s="8">
        <f>Insurance!A1083</f>
        <v>32</v>
      </c>
      <c r="B1190" s="7">
        <f>Insurance!C1083</f>
        <v>27.835000000000001</v>
      </c>
    </row>
    <row r="1191" spans="1:2" ht="15" customHeight="1">
      <c r="A1191" s="8">
        <f>Insurance!A1084</f>
        <v>38</v>
      </c>
      <c r="B1191" s="7">
        <f>Insurance!C1084</f>
        <v>19.95</v>
      </c>
    </row>
    <row r="1192" spans="1:2" ht="15" customHeight="1">
      <c r="A1192" s="8">
        <f>Insurance!A1085</f>
        <v>32</v>
      </c>
      <c r="B1192" s="7">
        <f>Insurance!C1085</f>
        <v>31.5</v>
      </c>
    </row>
    <row r="1193" spans="1:2" ht="15" customHeight="1">
      <c r="A1193" s="8">
        <f>Insurance!A1086</f>
        <v>62</v>
      </c>
      <c r="B1193" s="7">
        <f>Insurance!C1086</f>
        <v>30.495000000000001</v>
      </c>
    </row>
    <row r="1194" spans="1:2" ht="15" customHeight="1">
      <c r="A1194" s="8">
        <f>Insurance!A1087</f>
        <v>39</v>
      </c>
      <c r="B1194" s="7">
        <f>Insurance!C1087</f>
        <v>18.3</v>
      </c>
    </row>
    <row r="1195" spans="1:2" ht="15" customHeight="1">
      <c r="A1195" s="8">
        <f>Insurance!A1088</f>
        <v>55</v>
      </c>
      <c r="B1195" s="7">
        <f>Insurance!C1088</f>
        <v>28.975000000000001</v>
      </c>
    </row>
    <row r="1196" spans="1:2" ht="15" customHeight="1">
      <c r="A1196" s="8">
        <f>Insurance!A1089</f>
        <v>57</v>
      </c>
      <c r="B1196" s="7">
        <f>Insurance!C1089</f>
        <v>31.54</v>
      </c>
    </row>
    <row r="1197" spans="1:2" ht="15" customHeight="1">
      <c r="A1197" s="8">
        <f>Insurance!A1090</f>
        <v>52</v>
      </c>
      <c r="B1197" s="7">
        <f>Insurance!C1090</f>
        <v>47.74</v>
      </c>
    </row>
    <row r="1198" spans="1:2" ht="15" customHeight="1">
      <c r="A1198" s="8">
        <f>Insurance!A1091</f>
        <v>56</v>
      </c>
      <c r="B1198" s="7">
        <f>Insurance!C1091</f>
        <v>22.1</v>
      </c>
    </row>
    <row r="1199" spans="1:2" ht="15" customHeight="1">
      <c r="A1199" s="8">
        <f>Insurance!A1092</f>
        <v>47</v>
      </c>
      <c r="B1199" s="7">
        <f>Insurance!C1092</f>
        <v>36.19</v>
      </c>
    </row>
    <row r="1200" spans="1:2" ht="15" customHeight="1">
      <c r="A1200" s="8">
        <f>Insurance!A1093</f>
        <v>55</v>
      </c>
      <c r="B1200" s="7">
        <f>Insurance!C1093</f>
        <v>29.83</v>
      </c>
    </row>
    <row r="1201" spans="1:2" ht="15" customHeight="1">
      <c r="A1201" s="8">
        <f>Insurance!A1094</f>
        <v>23</v>
      </c>
      <c r="B1201" s="7">
        <f>Insurance!C1094</f>
        <v>32.700000000000003</v>
      </c>
    </row>
    <row r="1202" spans="1:2" ht="15" customHeight="1">
      <c r="A1202" s="8">
        <f>Insurance!A1095</f>
        <v>22</v>
      </c>
      <c r="B1202" s="7">
        <f>Insurance!C1095</f>
        <v>30.4</v>
      </c>
    </row>
    <row r="1203" spans="1:2" ht="15" customHeight="1">
      <c r="A1203" s="8">
        <f>Insurance!A1096</f>
        <v>50</v>
      </c>
      <c r="B1203" s="7">
        <f>Insurance!C1096</f>
        <v>33.700000000000003</v>
      </c>
    </row>
    <row r="1204" spans="1:2" ht="15" customHeight="1">
      <c r="A1204" s="8">
        <f>Insurance!A1097</f>
        <v>18</v>
      </c>
      <c r="B1204" s="7">
        <f>Insurance!C1097</f>
        <v>31.35</v>
      </c>
    </row>
    <row r="1205" spans="1:2" ht="15" customHeight="1">
      <c r="A1205" s="8">
        <f>Insurance!A1098</f>
        <v>51</v>
      </c>
      <c r="B1205" s="7">
        <f>Insurance!C1098</f>
        <v>34.96</v>
      </c>
    </row>
    <row r="1206" spans="1:2" ht="15" customHeight="1">
      <c r="A1206" s="8">
        <f>Insurance!A1099</f>
        <v>22</v>
      </c>
      <c r="B1206" s="7">
        <f>Insurance!C1099</f>
        <v>33.770000000000003</v>
      </c>
    </row>
    <row r="1207" spans="1:2" ht="15" customHeight="1">
      <c r="A1207" s="8">
        <f>Insurance!A1100</f>
        <v>52</v>
      </c>
      <c r="B1207" s="7">
        <f>Insurance!C1100</f>
        <v>30.875</v>
      </c>
    </row>
    <row r="1208" spans="1:2" ht="15" customHeight="1">
      <c r="A1208" s="8">
        <f>Insurance!A1101</f>
        <v>25</v>
      </c>
      <c r="B1208" s="7">
        <f>Insurance!C1101</f>
        <v>33.99</v>
      </c>
    </row>
    <row r="1209" spans="1:2" ht="15" customHeight="1">
      <c r="A1209" s="8">
        <f>Insurance!A1102</f>
        <v>33</v>
      </c>
      <c r="B1209" s="7">
        <f>Insurance!C1102</f>
        <v>19.094999999999999</v>
      </c>
    </row>
    <row r="1210" spans="1:2" ht="15" customHeight="1">
      <c r="A1210" s="8">
        <f>Insurance!A1103</f>
        <v>53</v>
      </c>
      <c r="B1210" s="7">
        <f>Insurance!C1103</f>
        <v>28.6</v>
      </c>
    </row>
    <row r="1211" spans="1:2" ht="15" customHeight="1">
      <c r="A1211" s="8">
        <f>Insurance!A1104</f>
        <v>29</v>
      </c>
      <c r="B1211" s="7">
        <f>Insurance!C1104</f>
        <v>38.94</v>
      </c>
    </row>
    <row r="1212" spans="1:2" ht="15" customHeight="1">
      <c r="A1212" s="8">
        <f>Insurance!A1105</f>
        <v>58</v>
      </c>
      <c r="B1212" s="7">
        <f>Insurance!C1105</f>
        <v>36.08</v>
      </c>
    </row>
    <row r="1213" spans="1:2" ht="15" customHeight="1">
      <c r="A1213" s="8">
        <f>Insurance!A1106</f>
        <v>37</v>
      </c>
      <c r="B1213" s="7">
        <f>Insurance!C1106</f>
        <v>29.8</v>
      </c>
    </row>
    <row r="1214" spans="1:2" ht="15" customHeight="1">
      <c r="A1214" s="8">
        <f>Insurance!A1107</f>
        <v>54</v>
      </c>
      <c r="B1214" s="7">
        <f>Insurance!C1107</f>
        <v>31.24</v>
      </c>
    </row>
    <row r="1215" spans="1:2" ht="15" customHeight="1">
      <c r="A1215" s="8">
        <f>Insurance!A1108</f>
        <v>49</v>
      </c>
      <c r="B1215" s="7">
        <f>Insurance!C1108</f>
        <v>29.925000000000001</v>
      </c>
    </row>
    <row r="1216" spans="1:2" ht="15" customHeight="1">
      <c r="A1216" s="8">
        <f>Insurance!A1109</f>
        <v>50</v>
      </c>
      <c r="B1216" s="7">
        <f>Insurance!C1109</f>
        <v>26.22</v>
      </c>
    </row>
    <row r="1217" spans="1:2" ht="15" customHeight="1">
      <c r="A1217" s="8">
        <f>Insurance!A1110</f>
        <v>26</v>
      </c>
      <c r="B1217" s="7">
        <f>Insurance!C1110</f>
        <v>30</v>
      </c>
    </row>
    <row r="1218" spans="1:2" ht="15" customHeight="1">
      <c r="A1218" s="8">
        <f>Insurance!A1111</f>
        <v>45</v>
      </c>
      <c r="B1218" s="7">
        <f>Insurance!C1111</f>
        <v>20.350000000000001</v>
      </c>
    </row>
    <row r="1219" spans="1:2" ht="15" customHeight="1">
      <c r="A1219" s="8">
        <f>Insurance!A1112</f>
        <v>54</v>
      </c>
      <c r="B1219" s="7">
        <f>Insurance!C1112</f>
        <v>32.299999999999997</v>
      </c>
    </row>
    <row r="1220" spans="1:2" ht="15" customHeight="1">
      <c r="A1220" s="8">
        <f>Insurance!A1113</f>
        <v>38</v>
      </c>
      <c r="B1220" s="7">
        <f>Insurance!C1113</f>
        <v>38.39</v>
      </c>
    </row>
    <row r="1221" spans="1:2" ht="15" customHeight="1">
      <c r="A1221" s="8">
        <f>Insurance!A1114</f>
        <v>48</v>
      </c>
      <c r="B1221" s="7">
        <f>Insurance!C1114</f>
        <v>25.85</v>
      </c>
    </row>
    <row r="1222" spans="1:2" ht="15" customHeight="1">
      <c r="A1222" s="8">
        <f>Insurance!A1115</f>
        <v>28</v>
      </c>
      <c r="B1222" s="7">
        <f>Insurance!C1115</f>
        <v>26.315000000000001</v>
      </c>
    </row>
    <row r="1223" spans="1:2" ht="15" customHeight="1">
      <c r="A1223" s="8">
        <f>Insurance!A1116</f>
        <v>23</v>
      </c>
      <c r="B1223" s="7">
        <f>Insurance!C1116</f>
        <v>24.51</v>
      </c>
    </row>
    <row r="1224" spans="1:2" ht="15" customHeight="1">
      <c r="A1224" s="8">
        <f>Insurance!A1117</f>
        <v>55</v>
      </c>
      <c r="B1224" s="7">
        <f>Insurance!C1117</f>
        <v>32.67</v>
      </c>
    </row>
    <row r="1225" spans="1:2" ht="15" customHeight="1">
      <c r="A1225" s="8">
        <f>Insurance!A1118</f>
        <v>41</v>
      </c>
      <c r="B1225" s="7">
        <f>Insurance!C1118</f>
        <v>29.64</v>
      </c>
    </row>
    <row r="1226" spans="1:2" ht="15" customHeight="1">
      <c r="A1226" s="8">
        <f>Insurance!A1119</f>
        <v>25</v>
      </c>
      <c r="B1226" s="7">
        <f>Insurance!C1119</f>
        <v>33.33</v>
      </c>
    </row>
    <row r="1227" spans="1:2" ht="15" customHeight="1">
      <c r="A1227" s="8">
        <f>Insurance!A1120</f>
        <v>33</v>
      </c>
      <c r="B1227" s="7">
        <f>Insurance!C1120</f>
        <v>35.75</v>
      </c>
    </row>
    <row r="1228" spans="1:2" ht="15" customHeight="1">
      <c r="A1228" s="8">
        <f>Insurance!A1121</f>
        <v>30</v>
      </c>
      <c r="B1228" s="7">
        <f>Insurance!C1121</f>
        <v>19.95</v>
      </c>
    </row>
    <row r="1229" spans="1:2" ht="15" customHeight="1">
      <c r="A1229" s="8">
        <f>Insurance!A1122</f>
        <v>23</v>
      </c>
      <c r="B1229" s="7">
        <f>Insurance!C1122</f>
        <v>31.4</v>
      </c>
    </row>
    <row r="1230" spans="1:2" ht="15" customHeight="1">
      <c r="A1230" s="8">
        <f>Insurance!A1123</f>
        <v>46</v>
      </c>
      <c r="B1230" s="7">
        <f>Insurance!C1123</f>
        <v>38.17</v>
      </c>
    </row>
    <row r="1231" spans="1:2" ht="15" customHeight="1">
      <c r="A1231" s="8">
        <f>Insurance!A1124</f>
        <v>53</v>
      </c>
      <c r="B1231" s="7">
        <f>Insurance!C1124</f>
        <v>36.86</v>
      </c>
    </row>
    <row r="1232" spans="1:2" ht="15" customHeight="1">
      <c r="A1232" s="8">
        <f>Insurance!A1125</f>
        <v>27</v>
      </c>
      <c r="B1232" s="7">
        <f>Insurance!C1125</f>
        <v>32.395000000000003</v>
      </c>
    </row>
    <row r="1233" spans="1:2" ht="15" customHeight="1">
      <c r="A1233" s="8">
        <f>Insurance!A1126</f>
        <v>23</v>
      </c>
      <c r="B1233" s="7">
        <f>Insurance!C1126</f>
        <v>42.75</v>
      </c>
    </row>
    <row r="1234" spans="1:2" ht="15" customHeight="1">
      <c r="A1234" s="8">
        <f>Insurance!A1127</f>
        <v>63</v>
      </c>
      <c r="B1234" s="7">
        <f>Insurance!C1127</f>
        <v>25.08</v>
      </c>
    </row>
    <row r="1235" spans="1:2" ht="15" customHeight="1">
      <c r="A1235" s="8">
        <f>Insurance!A1128</f>
        <v>55</v>
      </c>
      <c r="B1235" s="7">
        <f>Insurance!C1128</f>
        <v>29.9</v>
      </c>
    </row>
    <row r="1236" spans="1:2" ht="15" customHeight="1">
      <c r="A1236" s="8">
        <f>Insurance!A1129</f>
        <v>35</v>
      </c>
      <c r="B1236" s="7">
        <f>Insurance!C1129</f>
        <v>35.86</v>
      </c>
    </row>
    <row r="1237" spans="1:2" ht="15" customHeight="1">
      <c r="A1237" s="8">
        <f>Insurance!A1130</f>
        <v>34</v>
      </c>
      <c r="B1237" s="7">
        <f>Insurance!C1130</f>
        <v>32.799999999999997</v>
      </c>
    </row>
    <row r="1238" spans="1:2" ht="15" customHeight="1">
      <c r="A1238" s="8">
        <f>Insurance!A1131</f>
        <v>19</v>
      </c>
      <c r="B1238" s="7">
        <f>Insurance!C1131</f>
        <v>18.600000000000001</v>
      </c>
    </row>
    <row r="1239" spans="1:2" ht="15" customHeight="1">
      <c r="A1239" s="8">
        <f>Insurance!A1132</f>
        <v>39</v>
      </c>
      <c r="B1239" s="7">
        <f>Insurance!C1132</f>
        <v>23.87</v>
      </c>
    </row>
    <row r="1240" spans="1:2" ht="15" customHeight="1">
      <c r="A1240" s="8">
        <f>Insurance!A1133</f>
        <v>27</v>
      </c>
      <c r="B1240" s="7">
        <f>Insurance!C1133</f>
        <v>45.9</v>
      </c>
    </row>
    <row r="1241" spans="1:2" ht="15" customHeight="1">
      <c r="A1241" s="8">
        <f>Insurance!A1134</f>
        <v>57</v>
      </c>
      <c r="B1241" s="7">
        <f>Insurance!C1134</f>
        <v>40.28</v>
      </c>
    </row>
    <row r="1242" spans="1:2" ht="15" customHeight="1">
      <c r="A1242" s="8">
        <f>Insurance!A1135</f>
        <v>52</v>
      </c>
      <c r="B1242" s="7">
        <f>Insurance!C1135</f>
        <v>18.335000000000001</v>
      </c>
    </row>
    <row r="1243" spans="1:2" ht="15" customHeight="1">
      <c r="A1243" s="8">
        <f>Insurance!A1136</f>
        <v>28</v>
      </c>
      <c r="B1243" s="7">
        <f>Insurance!C1136</f>
        <v>33.82</v>
      </c>
    </row>
    <row r="1244" spans="1:2" ht="15" customHeight="1">
      <c r="A1244" s="8">
        <f>Insurance!A1137</f>
        <v>50</v>
      </c>
      <c r="B1244" s="7">
        <f>Insurance!C1137</f>
        <v>28.12</v>
      </c>
    </row>
    <row r="1245" spans="1:2" ht="15" customHeight="1">
      <c r="A1245" s="8">
        <f>Insurance!A1138</f>
        <v>44</v>
      </c>
      <c r="B1245" s="7">
        <f>Insurance!C1138</f>
        <v>25</v>
      </c>
    </row>
    <row r="1246" spans="1:2" ht="15" customHeight="1">
      <c r="A1246" s="8">
        <f>Insurance!A1139</f>
        <v>26</v>
      </c>
      <c r="B1246" s="7">
        <f>Insurance!C1139</f>
        <v>22.23</v>
      </c>
    </row>
    <row r="1247" spans="1:2" ht="15" customHeight="1">
      <c r="A1247" s="8">
        <f>Insurance!A1140</f>
        <v>33</v>
      </c>
      <c r="B1247" s="7">
        <f>Insurance!C1140</f>
        <v>30.25</v>
      </c>
    </row>
    <row r="1248" spans="1:2" ht="15" customHeight="1">
      <c r="A1248" s="8">
        <f>Insurance!A1141</f>
        <v>19</v>
      </c>
      <c r="B1248" s="7">
        <f>Insurance!C1141</f>
        <v>32.49</v>
      </c>
    </row>
    <row r="1249" spans="1:2" ht="15" customHeight="1">
      <c r="A1249" s="8">
        <f>Insurance!A1142</f>
        <v>50</v>
      </c>
      <c r="B1249" s="7">
        <f>Insurance!C1142</f>
        <v>37.07</v>
      </c>
    </row>
    <row r="1250" spans="1:2" ht="15" customHeight="1">
      <c r="A1250" s="8">
        <f>Insurance!A1143</f>
        <v>41</v>
      </c>
      <c r="B1250" s="7">
        <f>Insurance!C1143</f>
        <v>32.6</v>
      </c>
    </row>
    <row r="1251" spans="1:2" ht="15" customHeight="1">
      <c r="A1251" s="8">
        <f>Insurance!A1144</f>
        <v>52</v>
      </c>
      <c r="B1251" s="7">
        <f>Insurance!C1144</f>
        <v>24.86</v>
      </c>
    </row>
    <row r="1252" spans="1:2" ht="15" customHeight="1">
      <c r="A1252" s="8">
        <f>Insurance!A1145</f>
        <v>39</v>
      </c>
      <c r="B1252" s="7">
        <f>Insurance!C1145</f>
        <v>32.340000000000003</v>
      </c>
    </row>
    <row r="1253" spans="1:2" ht="15" customHeight="1">
      <c r="A1253" s="8">
        <f>Insurance!A1146</f>
        <v>50</v>
      </c>
      <c r="B1253" s="7">
        <f>Insurance!C1146</f>
        <v>32.299999999999997</v>
      </c>
    </row>
    <row r="1254" spans="1:2" ht="15" customHeight="1">
      <c r="A1254" s="8">
        <f>Insurance!A1147</f>
        <v>52</v>
      </c>
      <c r="B1254" s="7">
        <f>Insurance!C1147</f>
        <v>32.774999999999999</v>
      </c>
    </row>
    <row r="1255" spans="1:2" ht="15" customHeight="1">
      <c r="A1255" s="8">
        <f>Insurance!A1148</f>
        <v>60</v>
      </c>
      <c r="B1255" s="7">
        <f>Insurance!C1148</f>
        <v>32.799999999999997</v>
      </c>
    </row>
    <row r="1256" spans="1:2" ht="15" customHeight="1">
      <c r="A1256" s="8">
        <f>Insurance!A1149</f>
        <v>20</v>
      </c>
      <c r="B1256" s="7">
        <f>Insurance!C1149</f>
        <v>31.92</v>
      </c>
    </row>
    <row r="1257" spans="1:2" ht="15" customHeight="1">
      <c r="A1257" s="8">
        <f>Insurance!A1150</f>
        <v>55</v>
      </c>
      <c r="B1257" s="7">
        <f>Insurance!C1150</f>
        <v>21.5</v>
      </c>
    </row>
    <row r="1258" spans="1:2" ht="15" customHeight="1">
      <c r="A1258" s="8">
        <f>Insurance!A1151</f>
        <v>42</v>
      </c>
      <c r="B1258" s="7">
        <f>Insurance!C1151</f>
        <v>34.1</v>
      </c>
    </row>
    <row r="1259" spans="1:2" ht="15" customHeight="1">
      <c r="A1259" s="8">
        <f>Insurance!A1152</f>
        <v>18</v>
      </c>
      <c r="B1259" s="7">
        <f>Insurance!C1152</f>
        <v>30.305</v>
      </c>
    </row>
    <row r="1260" spans="1:2" ht="15" customHeight="1">
      <c r="A1260" s="8">
        <f>Insurance!A1153</f>
        <v>58</v>
      </c>
      <c r="B1260" s="7">
        <f>Insurance!C1153</f>
        <v>36.479999999999997</v>
      </c>
    </row>
    <row r="1261" spans="1:2" ht="15" customHeight="1">
      <c r="A1261" s="8">
        <f>Insurance!A1154</f>
        <v>43</v>
      </c>
      <c r="B1261" s="7">
        <f>Insurance!C1154</f>
        <v>32.56</v>
      </c>
    </row>
    <row r="1262" spans="1:2" ht="15" customHeight="1">
      <c r="A1262" s="8">
        <f>Insurance!A1155</f>
        <v>35</v>
      </c>
      <c r="B1262" s="7">
        <f>Insurance!C1155</f>
        <v>35.814999999999998</v>
      </c>
    </row>
    <row r="1263" spans="1:2" ht="15" customHeight="1">
      <c r="A1263" s="8">
        <f>Insurance!A1156</f>
        <v>48</v>
      </c>
      <c r="B1263" s="7">
        <f>Insurance!C1156</f>
        <v>27.93</v>
      </c>
    </row>
    <row r="1264" spans="1:2" ht="15" customHeight="1">
      <c r="A1264" s="8">
        <f>Insurance!A1157</f>
        <v>36</v>
      </c>
      <c r="B1264" s="7">
        <f>Insurance!C1157</f>
        <v>22.135000000000002</v>
      </c>
    </row>
    <row r="1265" spans="1:2" ht="15" customHeight="1">
      <c r="A1265" s="8">
        <f>Insurance!A1158</f>
        <v>19</v>
      </c>
      <c r="B1265" s="7">
        <f>Insurance!C1158</f>
        <v>44.88</v>
      </c>
    </row>
    <row r="1266" spans="1:2" ht="15" customHeight="1">
      <c r="A1266" s="8">
        <f>Insurance!A1159</f>
        <v>23</v>
      </c>
      <c r="B1266" s="7">
        <f>Insurance!C1159</f>
        <v>23.18</v>
      </c>
    </row>
    <row r="1267" spans="1:2" ht="15" customHeight="1">
      <c r="A1267" s="8">
        <f>Insurance!A1160</f>
        <v>20</v>
      </c>
      <c r="B1267" s="7">
        <f>Insurance!C1160</f>
        <v>30.59</v>
      </c>
    </row>
    <row r="1268" spans="1:2" ht="15" customHeight="1">
      <c r="A1268" s="8">
        <f>Insurance!A1161</f>
        <v>32</v>
      </c>
      <c r="B1268" s="7">
        <f>Insurance!C1161</f>
        <v>41.1</v>
      </c>
    </row>
    <row r="1269" spans="1:2" ht="15" customHeight="1">
      <c r="A1269" s="8">
        <f>Insurance!A1162</f>
        <v>43</v>
      </c>
      <c r="B1269" s="7">
        <f>Insurance!C1162</f>
        <v>34.58</v>
      </c>
    </row>
    <row r="1270" spans="1:2" ht="15" customHeight="1">
      <c r="A1270" s="8">
        <f>Insurance!A1163</f>
        <v>34</v>
      </c>
      <c r="B1270" s="7">
        <f>Insurance!C1163</f>
        <v>42.13</v>
      </c>
    </row>
    <row r="1271" spans="1:2" ht="15" customHeight="1">
      <c r="A1271" s="8">
        <f>Insurance!A1164</f>
        <v>30</v>
      </c>
      <c r="B1271" s="7">
        <f>Insurance!C1164</f>
        <v>38.83</v>
      </c>
    </row>
    <row r="1272" spans="1:2" ht="15" customHeight="1">
      <c r="A1272" s="8">
        <f>Insurance!A1165</f>
        <v>18</v>
      </c>
      <c r="B1272" s="7">
        <f>Insurance!C1165</f>
        <v>28.215</v>
      </c>
    </row>
    <row r="1273" spans="1:2" ht="15" customHeight="1">
      <c r="A1273" s="8">
        <f>Insurance!A1166</f>
        <v>41</v>
      </c>
      <c r="B1273" s="7">
        <f>Insurance!C1166</f>
        <v>28.31</v>
      </c>
    </row>
    <row r="1274" spans="1:2" ht="15" customHeight="1">
      <c r="A1274" s="8">
        <f>Insurance!A1167</f>
        <v>35</v>
      </c>
      <c r="B1274" s="7">
        <f>Insurance!C1167</f>
        <v>26.125</v>
      </c>
    </row>
    <row r="1275" spans="1:2" ht="15" customHeight="1">
      <c r="A1275" s="8">
        <f>Insurance!A1168</f>
        <v>57</v>
      </c>
      <c r="B1275" s="7">
        <f>Insurance!C1168</f>
        <v>40.369999999999997</v>
      </c>
    </row>
    <row r="1276" spans="1:2" ht="15" customHeight="1">
      <c r="A1276" s="8">
        <f>Insurance!A1169</f>
        <v>29</v>
      </c>
      <c r="B1276" s="7">
        <f>Insurance!C1169</f>
        <v>24.6</v>
      </c>
    </row>
    <row r="1277" spans="1:2" ht="15" customHeight="1">
      <c r="A1277" s="8">
        <f>Insurance!A1170</f>
        <v>32</v>
      </c>
      <c r="B1277" s="7">
        <f>Insurance!C1170</f>
        <v>35.200000000000003</v>
      </c>
    </row>
    <row r="1278" spans="1:2" ht="15" customHeight="1">
      <c r="A1278" s="8">
        <f>Insurance!A1171</f>
        <v>37</v>
      </c>
      <c r="B1278" s="7">
        <f>Insurance!C1171</f>
        <v>34.104999999999997</v>
      </c>
    </row>
    <row r="1279" spans="1:2" ht="15" customHeight="1">
      <c r="A1279" s="8">
        <f>Insurance!A1172</f>
        <v>18</v>
      </c>
      <c r="B1279" s="7">
        <f>Insurance!C1172</f>
        <v>27.36</v>
      </c>
    </row>
    <row r="1280" spans="1:2" ht="15" customHeight="1">
      <c r="A1280" s="8">
        <f>Insurance!A1173</f>
        <v>43</v>
      </c>
      <c r="B1280" s="7">
        <f>Insurance!C1173</f>
        <v>26.7</v>
      </c>
    </row>
    <row r="1281" spans="1:2" ht="15" customHeight="1">
      <c r="A1281" s="8">
        <f>Insurance!A1174</f>
        <v>56</v>
      </c>
      <c r="B1281" s="7">
        <f>Insurance!C1174</f>
        <v>41.91</v>
      </c>
    </row>
    <row r="1282" spans="1:2" ht="15" customHeight="1">
      <c r="A1282" s="8">
        <f>Insurance!A1175</f>
        <v>38</v>
      </c>
      <c r="B1282" s="7">
        <f>Insurance!C1175</f>
        <v>29.26</v>
      </c>
    </row>
    <row r="1283" spans="1:2" ht="15" customHeight="1">
      <c r="A1283" s="8">
        <f>Insurance!A1176</f>
        <v>29</v>
      </c>
      <c r="B1283" s="7">
        <f>Insurance!C1176</f>
        <v>32.11</v>
      </c>
    </row>
    <row r="1284" spans="1:2" ht="15" customHeight="1">
      <c r="A1284" s="8">
        <f>Insurance!A1177</f>
        <v>22</v>
      </c>
      <c r="B1284" s="7">
        <f>Insurance!C1177</f>
        <v>27.1</v>
      </c>
    </row>
    <row r="1285" spans="1:2" ht="15" customHeight="1">
      <c r="A1285" s="8">
        <f>Insurance!A1178</f>
        <v>52</v>
      </c>
      <c r="B1285" s="7">
        <f>Insurance!C1178</f>
        <v>24.13</v>
      </c>
    </row>
    <row r="1286" spans="1:2" ht="15" customHeight="1">
      <c r="A1286" s="8">
        <f>Insurance!A1179</f>
        <v>40</v>
      </c>
      <c r="B1286" s="7">
        <f>Insurance!C1179</f>
        <v>27.4</v>
      </c>
    </row>
    <row r="1287" spans="1:2" ht="15" customHeight="1">
      <c r="A1287" s="8">
        <f>Insurance!A1180</f>
        <v>23</v>
      </c>
      <c r="B1287" s="7">
        <f>Insurance!C1180</f>
        <v>34.865000000000002</v>
      </c>
    </row>
    <row r="1288" spans="1:2" ht="15" customHeight="1">
      <c r="A1288" s="8">
        <f>Insurance!A1181</f>
        <v>31</v>
      </c>
      <c r="B1288" s="7">
        <f>Insurance!C1181</f>
        <v>29.81</v>
      </c>
    </row>
    <row r="1289" spans="1:2" ht="15" customHeight="1">
      <c r="A1289" s="8">
        <f>Insurance!A1182</f>
        <v>42</v>
      </c>
      <c r="B1289" s="7">
        <f>Insurance!C1182</f>
        <v>41.325000000000003</v>
      </c>
    </row>
    <row r="1290" spans="1:2" ht="15" customHeight="1">
      <c r="A1290" s="8">
        <f>Insurance!A1183</f>
        <v>24</v>
      </c>
      <c r="B1290" s="7">
        <f>Insurance!C1183</f>
        <v>29.925000000000001</v>
      </c>
    </row>
    <row r="1291" spans="1:2" ht="15" customHeight="1">
      <c r="A1291" s="8">
        <f>Insurance!A1184</f>
        <v>25</v>
      </c>
      <c r="B1291" s="7">
        <f>Insurance!C1184</f>
        <v>30.3</v>
      </c>
    </row>
    <row r="1292" spans="1:2" ht="15" customHeight="1">
      <c r="A1292" s="8">
        <f>Insurance!A1185</f>
        <v>48</v>
      </c>
      <c r="B1292" s="7">
        <f>Insurance!C1185</f>
        <v>27.36</v>
      </c>
    </row>
    <row r="1293" spans="1:2" ht="15" customHeight="1">
      <c r="A1293" s="8">
        <f>Insurance!A1186</f>
        <v>23</v>
      </c>
      <c r="B1293" s="7">
        <f>Insurance!C1186</f>
        <v>28.49</v>
      </c>
    </row>
    <row r="1294" spans="1:2" ht="15" customHeight="1">
      <c r="A1294" s="8">
        <f>Insurance!A1187</f>
        <v>45</v>
      </c>
      <c r="B1294" s="7">
        <f>Insurance!C1187</f>
        <v>23.56</v>
      </c>
    </row>
    <row r="1295" spans="1:2" ht="15" customHeight="1">
      <c r="A1295" s="8">
        <f>Insurance!A1188</f>
        <v>20</v>
      </c>
      <c r="B1295" s="7">
        <f>Insurance!C1188</f>
        <v>35.625</v>
      </c>
    </row>
    <row r="1296" spans="1:2" ht="15" customHeight="1">
      <c r="A1296" s="8">
        <f>Insurance!A1189</f>
        <v>62</v>
      </c>
      <c r="B1296" s="7">
        <f>Insurance!C1189</f>
        <v>32.68</v>
      </c>
    </row>
    <row r="1297" spans="1:2" ht="15" customHeight="1">
      <c r="A1297" s="8">
        <f>Insurance!A1190</f>
        <v>43</v>
      </c>
      <c r="B1297" s="7">
        <f>Insurance!C1190</f>
        <v>25.27</v>
      </c>
    </row>
    <row r="1298" spans="1:2" ht="15" customHeight="1">
      <c r="A1298" s="8">
        <f>Insurance!A1191</f>
        <v>23</v>
      </c>
      <c r="B1298" s="7">
        <f>Insurance!C1191</f>
        <v>28</v>
      </c>
    </row>
    <row r="1299" spans="1:2" ht="15" customHeight="1">
      <c r="A1299" s="8">
        <f>Insurance!A1192</f>
        <v>31</v>
      </c>
      <c r="B1299" s="7">
        <f>Insurance!C1192</f>
        <v>32.774999999999999</v>
      </c>
    </row>
    <row r="1300" spans="1:2" ht="15" customHeight="1">
      <c r="A1300" s="8">
        <f>Insurance!A1193</f>
        <v>41</v>
      </c>
      <c r="B1300" s="7">
        <f>Insurance!C1193</f>
        <v>21.754999999999999</v>
      </c>
    </row>
    <row r="1301" spans="1:2" ht="15" customHeight="1">
      <c r="A1301" s="8">
        <f>Insurance!A1194</f>
        <v>58</v>
      </c>
      <c r="B1301" s="7">
        <f>Insurance!C1194</f>
        <v>32.395000000000003</v>
      </c>
    </row>
    <row r="1302" spans="1:2" ht="15" customHeight="1">
      <c r="A1302" s="8">
        <f>Insurance!A1195</f>
        <v>48</v>
      </c>
      <c r="B1302" s="7">
        <f>Insurance!C1195</f>
        <v>36.575000000000003</v>
      </c>
    </row>
    <row r="1303" spans="1:2" ht="15" customHeight="1">
      <c r="A1303" s="8">
        <f>Insurance!A1196</f>
        <v>31</v>
      </c>
      <c r="B1303" s="7">
        <f>Insurance!C1196</f>
        <v>21.754999999999999</v>
      </c>
    </row>
    <row r="1304" spans="1:2" ht="15" customHeight="1">
      <c r="A1304" s="8">
        <f>Insurance!A1197</f>
        <v>19</v>
      </c>
      <c r="B1304" s="7">
        <f>Insurance!C1197</f>
        <v>27.93</v>
      </c>
    </row>
    <row r="1305" spans="1:2" ht="15" customHeight="1">
      <c r="A1305" s="8">
        <f>Insurance!A1198</f>
        <v>19</v>
      </c>
      <c r="B1305" s="7">
        <f>Insurance!C1198</f>
        <v>30.02</v>
      </c>
    </row>
    <row r="1306" spans="1:2" ht="15" customHeight="1">
      <c r="A1306" s="8">
        <f>Insurance!A1199</f>
        <v>41</v>
      </c>
      <c r="B1306" s="7">
        <f>Insurance!C1199</f>
        <v>33.549999999999997</v>
      </c>
    </row>
    <row r="1307" spans="1:2" ht="15" customHeight="1">
      <c r="A1307" s="8">
        <f>Insurance!A1200</f>
        <v>40</v>
      </c>
      <c r="B1307" s="7">
        <f>Insurance!C1200</f>
        <v>29.355</v>
      </c>
    </row>
    <row r="1308" spans="1:2" ht="15" customHeight="1">
      <c r="A1308" s="8">
        <f>Insurance!A1201</f>
        <v>31</v>
      </c>
      <c r="B1308" s="7">
        <f>Insurance!C1201</f>
        <v>25.8</v>
      </c>
    </row>
    <row r="1309" spans="1:2" ht="15" customHeight="1">
      <c r="A1309" s="8">
        <f>Insurance!A1202</f>
        <v>37</v>
      </c>
      <c r="B1309" s="7">
        <f>Insurance!C1202</f>
        <v>24.32</v>
      </c>
    </row>
    <row r="1310" spans="1:2" ht="15" customHeight="1">
      <c r="A1310" s="8">
        <f>Insurance!A1203</f>
        <v>46</v>
      </c>
      <c r="B1310" s="7">
        <f>Insurance!C1203</f>
        <v>40.375</v>
      </c>
    </row>
    <row r="1311" spans="1:2" ht="15" customHeight="1">
      <c r="A1311" s="8">
        <f>Insurance!A1204</f>
        <v>22</v>
      </c>
      <c r="B1311" s="7">
        <f>Insurance!C1204</f>
        <v>32.11</v>
      </c>
    </row>
    <row r="1312" spans="1:2" ht="15" customHeight="1">
      <c r="A1312" s="8">
        <f>Insurance!A1205</f>
        <v>51</v>
      </c>
      <c r="B1312" s="7">
        <f>Insurance!C1205</f>
        <v>32.299999999999997</v>
      </c>
    </row>
    <row r="1313" spans="1:2" ht="15" customHeight="1">
      <c r="A1313" s="8">
        <f>Insurance!A1206</f>
        <v>18</v>
      </c>
      <c r="B1313" s="7">
        <f>Insurance!C1206</f>
        <v>27.28</v>
      </c>
    </row>
    <row r="1314" spans="1:2" ht="15" customHeight="1">
      <c r="A1314" s="8">
        <f>Insurance!A1207</f>
        <v>35</v>
      </c>
      <c r="B1314" s="7">
        <f>Insurance!C1207</f>
        <v>17.86</v>
      </c>
    </row>
    <row r="1315" spans="1:2" ht="15" customHeight="1">
      <c r="A1315" s="8">
        <f>Insurance!A1208</f>
        <v>59</v>
      </c>
      <c r="B1315" s="7">
        <f>Insurance!C1208</f>
        <v>34.799999999999997</v>
      </c>
    </row>
    <row r="1316" spans="1:2" ht="15" customHeight="1">
      <c r="A1316" s="8">
        <f>Insurance!A1209</f>
        <v>36</v>
      </c>
      <c r="B1316" s="7">
        <f>Insurance!C1209</f>
        <v>33.4</v>
      </c>
    </row>
    <row r="1317" spans="1:2" ht="15" customHeight="1">
      <c r="A1317" s="8">
        <f>Insurance!A1210</f>
        <v>37</v>
      </c>
      <c r="B1317" s="7">
        <f>Insurance!C1210</f>
        <v>25.555</v>
      </c>
    </row>
    <row r="1318" spans="1:2" ht="15" customHeight="1">
      <c r="A1318" s="8">
        <f>Insurance!A1211</f>
        <v>59</v>
      </c>
      <c r="B1318" s="7">
        <f>Insurance!C1211</f>
        <v>37.1</v>
      </c>
    </row>
    <row r="1319" spans="1:2" ht="15" customHeight="1">
      <c r="A1319" s="8">
        <f>Insurance!A1212</f>
        <v>36</v>
      </c>
      <c r="B1319" s="7">
        <f>Insurance!C1212</f>
        <v>30.875</v>
      </c>
    </row>
    <row r="1320" spans="1:2" ht="15" customHeight="1">
      <c r="A1320" s="8">
        <f>Insurance!A1213</f>
        <v>39</v>
      </c>
      <c r="B1320" s="7">
        <f>Insurance!C1213</f>
        <v>34.1</v>
      </c>
    </row>
    <row r="1321" spans="1:2" ht="15" customHeight="1">
      <c r="A1321" s="8">
        <f>Insurance!A1214</f>
        <v>18</v>
      </c>
      <c r="B1321" s="7">
        <f>Insurance!C1214</f>
        <v>21.47</v>
      </c>
    </row>
    <row r="1322" spans="1:2" ht="15" customHeight="1">
      <c r="A1322" s="8">
        <f>Insurance!A1215</f>
        <v>52</v>
      </c>
      <c r="B1322" s="7">
        <f>Insurance!C1215</f>
        <v>33.299999999999997</v>
      </c>
    </row>
    <row r="1323" spans="1:2" ht="15" customHeight="1">
      <c r="A1323" s="8">
        <f>Insurance!A1216</f>
        <v>27</v>
      </c>
      <c r="B1323" s="7">
        <f>Insurance!C1216</f>
        <v>31.254999999999999</v>
      </c>
    </row>
    <row r="1324" spans="1:2" ht="15" customHeight="1">
      <c r="A1324" s="8">
        <f>Insurance!A1217</f>
        <v>18</v>
      </c>
      <c r="B1324" s="7">
        <f>Insurance!C1217</f>
        <v>39.14</v>
      </c>
    </row>
    <row r="1325" spans="1:2" ht="15" customHeight="1">
      <c r="A1325" s="8">
        <f>Insurance!A1218</f>
        <v>40</v>
      </c>
      <c r="B1325" s="7">
        <f>Insurance!C1218</f>
        <v>25.08</v>
      </c>
    </row>
    <row r="1326" spans="1:2" ht="15" customHeight="1">
      <c r="A1326" s="8">
        <f>Insurance!A1219</f>
        <v>29</v>
      </c>
      <c r="B1326" s="7">
        <f>Insurance!C1219</f>
        <v>37.29</v>
      </c>
    </row>
    <row r="1327" spans="1:2" ht="15" customHeight="1">
      <c r="A1327" s="8">
        <f>Insurance!A1220</f>
        <v>46</v>
      </c>
      <c r="B1327" s="7">
        <f>Insurance!C1220</f>
        <v>34.6</v>
      </c>
    </row>
    <row r="1328" spans="1:2" ht="15" customHeight="1">
      <c r="A1328" s="8">
        <f>Insurance!A1221</f>
        <v>38</v>
      </c>
      <c r="B1328" s="7">
        <f>Insurance!C1221</f>
        <v>30.21</v>
      </c>
    </row>
    <row r="1329" spans="1:2" ht="15" customHeight="1">
      <c r="A1329" s="8">
        <f>Insurance!A1222</f>
        <v>30</v>
      </c>
      <c r="B1329" s="7">
        <f>Insurance!C1222</f>
        <v>21.945</v>
      </c>
    </row>
    <row r="1330" spans="1:2" ht="15" customHeight="1">
      <c r="A1330" s="8">
        <f>Insurance!A1223</f>
        <v>40</v>
      </c>
      <c r="B1330" s="7">
        <f>Insurance!C1223</f>
        <v>24.97</v>
      </c>
    </row>
    <row r="1331" spans="1:2" ht="15" customHeight="1">
      <c r="A1331" s="8">
        <f>Insurance!A1224</f>
        <v>50</v>
      </c>
      <c r="B1331" s="7">
        <f>Insurance!C1224</f>
        <v>25.3</v>
      </c>
    </row>
    <row r="1332" spans="1:2" ht="15" customHeight="1">
      <c r="A1332" s="8">
        <f>Insurance!A1225</f>
        <v>20</v>
      </c>
      <c r="B1332" s="7">
        <f>Insurance!C1225</f>
        <v>24.42</v>
      </c>
    </row>
    <row r="1333" spans="1:2" ht="15" customHeight="1">
      <c r="A1333" s="8">
        <f>Insurance!A1226</f>
        <v>41</v>
      </c>
      <c r="B1333" s="7">
        <f>Insurance!C1226</f>
        <v>23.94</v>
      </c>
    </row>
    <row r="1334" spans="1:2" ht="15" customHeight="1">
      <c r="A1334" s="8">
        <f>Insurance!A1227</f>
        <v>33</v>
      </c>
      <c r="B1334" s="7">
        <f>Insurance!C1227</f>
        <v>39.82</v>
      </c>
    </row>
    <row r="1335" spans="1:2" ht="15" customHeight="1">
      <c r="A1335" s="8">
        <f>Insurance!A1228</f>
        <v>38</v>
      </c>
      <c r="B1335" s="7">
        <f>Insurance!C1228</f>
        <v>16.815000000000001</v>
      </c>
    </row>
    <row r="1336" spans="1:2" ht="15" customHeight="1">
      <c r="A1336" s="8">
        <f>Insurance!A1229</f>
        <v>42</v>
      </c>
      <c r="B1336" s="7">
        <f>Insurance!C1229</f>
        <v>37.18</v>
      </c>
    </row>
    <row r="1337" spans="1:2" ht="15" customHeight="1">
      <c r="A1337" s="8">
        <f>Insurance!A1230</f>
        <v>56</v>
      </c>
      <c r="B1337" s="7">
        <f>Insurance!C1230</f>
        <v>34.43</v>
      </c>
    </row>
    <row r="1338" spans="1:2" ht="15" customHeight="1">
      <c r="A1338" s="8">
        <f>Insurance!A1231</f>
        <v>58</v>
      </c>
      <c r="B1338" s="7">
        <f>Insurance!C1231</f>
        <v>30.305</v>
      </c>
    </row>
    <row r="1339" spans="1:2" ht="15" customHeight="1">
      <c r="A1339" s="8">
        <f>Insurance!A1232</f>
        <v>52</v>
      </c>
      <c r="B1339" s="7">
        <f>Insurance!C1232</f>
        <v>34.484999999999999</v>
      </c>
    </row>
    <row r="1340" spans="1:2" ht="15" customHeight="1">
      <c r="A1340" s="8">
        <f>Insurance!A1233</f>
        <v>20</v>
      </c>
      <c r="B1340" s="7">
        <f>Insurance!C1233</f>
        <v>21.8</v>
      </c>
    </row>
    <row r="1341" spans="1:2" ht="15" customHeight="1">
      <c r="A1341" s="8">
        <f>Insurance!A1234</f>
        <v>54</v>
      </c>
      <c r="B1341" s="7">
        <f>Insurance!C1234</f>
        <v>24.605</v>
      </c>
    </row>
    <row r="1342" spans="1:2" ht="15" customHeight="1">
      <c r="A1342" s="8">
        <f>Insurance!A1235</f>
        <v>58</v>
      </c>
      <c r="B1342" s="7">
        <f>Insurance!C1235</f>
        <v>23.3</v>
      </c>
    </row>
    <row r="1343" spans="1:2" ht="15" customHeight="1">
      <c r="A1343" s="8">
        <f>Insurance!A1236</f>
        <v>45</v>
      </c>
      <c r="B1343" s="7">
        <f>Insurance!C1236</f>
        <v>27.83</v>
      </c>
    </row>
    <row r="1344" spans="1:2" ht="15" customHeight="1">
      <c r="A1344" s="8">
        <f>Insurance!A1237</f>
        <v>26</v>
      </c>
      <c r="B1344" s="7">
        <f>Insurance!C1237</f>
        <v>31.065000000000001</v>
      </c>
    </row>
    <row r="1345" spans="1:2" ht="15" customHeight="1">
      <c r="A1345" s="8">
        <f>Insurance!A1238</f>
        <v>63</v>
      </c>
      <c r="B1345" s="7">
        <f>Insurance!C1238</f>
        <v>21.66</v>
      </c>
    </row>
    <row r="1346" spans="1:2" ht="15" customHeight="1">
      <c r="A1346" s="8">
        <f>Insurance!A1239</f>
        <v>58</v>
      </c>
      <c r="B1346" s="7">
        <f>Insurance!C1239</f>
        <v>28.215</v>
      </c>
    </row>
    <row r="1347" spans="1:2" ht="15" customHeight="1">
      <c r="A1347" s="8">
        <f>Insurance!A1240</f>
        <v>37</v>
      </c>
      <c r="B1347" s="7">
        <f>Insurance!C1240</f>
        <v>22.704999999999998</v>
      </c>
    </row>
    <row r="1348" spans="1:2" ht="15" customHeight="1">
      <c r="A1348" s="8">
        <f>Insurance!A1241</f>
        <v>25</v>
      </c>
      <c r="B1348" s="7">
        <f>Insurance!C1241</f>
        <v>42.13</v>
      </c>
    </row>
    <row r="1349" spans="1:2" ht="15" customHeight="1">
      <c r="A1349" s="8">
        <f>Insurance!A1242</f>
        <v>52</v>
      </c>
      <c r="B1349" s="7">
        <f>Insurance!C1242</f>
        <v>41.8</v>
      </c>
    </row>
    <row r="1350" spans="1:2" ht="15" customHeight="1">
      <c r="A1350" s="8">
        <f>Insurance!A1243</f>
        <v>64</v>
      </c>
      <c r="B1350" s="7">
        <f>Insurance!C1243</f>
        <v>36.96</v>
      </c>
    </row>
    <row r="1351" spans="1:2" ht="15" customHeight="1">
      <c r="A1351" s="8">
        <f>Insurance!A1244</f>
        <v>22</v>
      </c>
      <c r="B1351" s="7">
        <f>Insurance!C1244</f>
        <v>21.28</v>
      </c>
    </row>
    <row r="1352" spans="1:2" ht="15" customHeight="1">
      <c r="A1352" s="8">
        <f>Insurance!A1245</f>
        <v>28</v>
      </c>
      <c r="B1352" s="7">
        <f>Insurance!C1245</f>
        <v>33.11</v>
      </c>
    </row>
    <row r="1353" spans="1:2" ht="15" customHeight="1">
      <c r="A1353" s="8">
        <f>Insurance!A1246</f>
        <v>18</v>
      </c>
      <c r="B1353" s="7">
        <f>Insurance!C1246</f>
        <v>33.33</v>
      </c>
    </row>
    <row r="1354" spans="1:2" ht="15" customHeight="1">
      <c r="A1354" s="8">
        <f>Insurance!A1247</f>
        <v>28</v>
      </c>
      <c r="B1354" s="7">
        <f>Insurance!C1247</f>
        <v>24.3</v>
      </c>
    </row>
    <row r="1355" spans="1:2" ht="15" customHeight="1">
      <c r="A1355" s="8">
        <f>Insurance!A1248</f>
        <v>45</v>
      </c>
      <c r="B1355" s="7">
        <f>Insurance!C1248</f>
        <v>25.7</v>
      </c>
    </row>
    <row r="1356" spans="1:2" ht="15" customHeight="1">
      <c r="A1356" s="8">
        <f>Insurance!A1249</f>
        <v>33</v>
      </c>
      <c r="B1356" s="7">
        <f>Insurance!C1249</f>
        <v>29.4</v>
      </c>
    </row>
    <row r="1357" spans="1:2" ht="15" customHeight="1">
      <c r="A1357" s="8">
        <f>Insurance!A1250</f>
        <v>18</v>
      </c>
      <c r="B1357" s="7">
        <f>Insurance!C1250</f>
        <v>39.82</v>
      </c>
    </row>
    <row r="1358" spans="1:2" ht="15" customHeight="1">
      <c r="A1358" s="8">
        <f>Insurance!A1251</f>
        <v>32</v>
      </c>
      <c r="B1358" s="7">
        <f>Insurance!C1251</f>
        <v>33.630000000000003</v>
      </c>
    </row>
    <row r="1359" spans="1:2" ht="15" customHeight="1">
      <c r="A1359" s="8">
        <f>Insurance!A1252</f>
        <v>24</v>
      </c>
      <c r="B1359" s="7">
        <f>Insurance!C1252</f>
        <v>29.83</v>
      </c>
    </row>
    <row r="1360" spans="1:2" ht="15" customHeight="1">
      <c r="A1360" s="8">
        <f>Insurance!A1253</f>
        <v>19</v>
      </c>
      <c r="B1360" s="7">
        <f>Insurance!C1253</f>
        <v>19.8</v>
      </c>
    </row>
    <row r="1361" spans="1:2" ht="15" customHeight="1">
      <c r="A1361" s="8">
        <f>Insurance!A1254</f>
        <v>20</v>
      </c>
      <c r="B1361" s="7">
        <f>Insurance!C1254</f>
        <v>27.3</v>
      </c>
    </row>
    <row r="1362" spans="1:2" ht="15" customHeight="1">
      <c r="A1362" s="8">
        <f>Insurance!A1255</f>
        <v>40</v>
      </c>
      <c r="B1362" s="7">
        <f>Insurance!C1255</f>
        <v>29.3</v>
      </c>
    </row>
    <row r="1363" spans="1:2" ht="15" customHeight="1">
      <c r="A1363" s="8">
        <f>Insurance!A1256</f>
        <v>34</v>
      </c>
      <c r="B1363" s="7">
        <f>Insurance!C1256</f>
        <v>27.72</v>
      </c>
    </row>
    <row r="1364" spans="1:2" ht="15" customHeight="1">
      <c r="A1364" s="8">
        <f>Insurance!A1257</f>
        <v>42</v>
      </c>
      <c r="B1364" s="7">
        <f>Insurance!C1257</f>
        <v>37.9</v>
      </c>
    </row>
    <row r="1365" spans="1:2" ht="15" customHeight="1">
      <c r="A1365" s="8">
        <f>Insurance!A1258</f>
        <v>51</v>
      </c>
      <c r="B1365" s="7">
        <f>Insurance!C1258</f>
        <v>36.384999999999998</v>
      </c>
    </row>
    <row r="1366" spans="1:2" ht="15" customHeight="1">
      <c r="A1366" s="8">
        <f>Insurance!A1259</f>
        <v>54</v>
      </c>
      <c r="B1366" s="7">
        <f>Insurance!C1259</f>
        <v>27.645</v>
      </c>
    </row>
    <row r="1367" spans="1:2" ht="15" customHeight="1">
      <c r="A1367" s="8">
        <f>Insurance!A1260</f>
        <v>55</v>
      </c>
      <c r="B1367" s="7">
        <f>Insurance!C1260</f>
        <v>37.715000000000003</v>
      </c>
    </row>
    <row r="1368" spans="1:2" ht="15" customHeight="1">
      <c r="A1368" s="8">
        <f>Insurance!A1261</f>
        <v>52</v>
      </c>
      <c r="B1368" s="7">
        <f>Insurance!C1261</f>
        <v>23.18</v>
      </c>
    </row>
    <row r="1369" spans="1:2" ht="15" customHeight="1">
      <c r="A1369" s="8">
        <f>Insurance!A1262</f>
        <v>32</v>
      </c>
      <c r="B1369" s="7">
        <f>Insurance!C1262</f>
        <v>20.52</v>
      </c>
    </row>
    <row r="1370" spans="1:2" ht="15" customHeight="1">
      <c r="A1370" s="8">
        <f>Insurance!A1263</f>
        <v>28</v>
      </c>
      <c r="B1370" s="7">
        <f>Insurance!C1263</f>
        <v>37.1</v>
      </c>
    </row>
    <row r="1371" spans="1:2" ht="15" customHeight="1">
      <c r="A1371" s="8">
        <f>Insurance!A1264</f>
        <v>41</v>
      </c>
      <c r="B1371" s="7">
        <f>Insurance!C1264</f>
        <v>28.05</v>
      </c>
    </row>
    <row r="1372" spans="1:2" ht="15" customHeight="1">
      <c r="A1372" s="8">
        <f>Insurance!A1265</f>
        <v>43</v>
      </c>
      <c r="B1372" s="7">
        <f>Insurance!C1265</f>
        <v>29.9</v>
      </c>
    </row>
    <row r="1373" spans="1:2" ht="15" customHeight="1">
      <c r="A1373" s="8">
        <f>Insurance!A1266</f>
        <v>49</v>
      </c>
      <c r="B1373" s="7">
        <f>Insurance!C1266</f>
        <v>33.344999999999999</v>
      </c>
    </row>
    <row r="1374" spans="1:2" ht="15" customHeight="1">
      <c r="A1374" s="8">
        <f>Insurance!A1267</f>
        <v>64</v>
      </c>
      <c r="B1374" s="7">
        <f>Insurance!C1267</f>
        <v>23.76</v>
      </c>
    </row>
    <row r="1375" spans="1:2" ht="15" customHeight="1">
      <c r="A1375" s="8">
        <f>Insurance!A1268</f>
        <v>55</v>
      </c>
      <c r="B1375" s="7">
        <f>Insurance!C1268</f>
        <v>30.5</v>
      </c>
    </row>
    <row r="1376" spans="1:2" ht="15" customHeight="1">
      <c r="A1376" s="8">
        <f>Insurance!A1269</f>
        <v>24</v>
      </c>
      <c r="B1376" s="7">
        <f>Insurance!C1269</f>
        <v>31.065000000000001</v>
      </c>
    </row>
    <row r="1377" spans="1:2" ht="15" customHeight="1">
      <c r="A1377" s="8">
        <f>Insurance!A1270</f>
        <v>20</v>
      </c>
      <c r="B1377" s="7">
        <f>Insurance!C1270</f>
        <v>33.299999999999997</v>
      </c>
    </row>
    <row r="1378" spans="1:2" ht="15" customHeight="1">
      <c r="A1378" s="8">
        <f>Insurance!A1271</f>
        <v>45</v>
      </c>
      <c r="B1378" s="7">
        <f>Insurance!C1271</f>
        <v>27.5</v>
      </c>
    </row>
    <row r="1379" spans="1:2" ht="15" customHeight="1">
      <c r="A1379" s="8">
        <f>Insurance!A1272</f>
        <v>26</v>
      </c>
      <c r="B1379" s="7">
        <f>Insurance!C1272</f>
        <v>33.914999999999999</v>
      </c>
    </row>
    <row r="1380" spans="1:2" ht="15" customHeight="1">
      <c r="A1380" s="8">
        <f>Insurance!A1273</f>
        <v>25</v>
      </c>
      <c r="B1380" s="7">
        <f>Insurance!C1273</f>
        <v>34.484999999999999</v>
      </c>
    </row>
    <row r="1381" spans="1:2" ht="15" customHeight="1">
      <c r="A1381" s="8">
        <f>Insurance!A1274</f>
        <v>43</v>
      </c>
      <c r="B1381" s="7">
        <f>Insurance!C1274</f>
        <v>25.52</v>
      </c>
    </row>
    <row r="1382" spans="1:2" ht="15" customHeight="1">
      <c r="A1382" s="8">
        <f>Insurance!A1275</f>
        <v>35</v>
      </c>
      <c r="B1382" s="7">
        <f>Insurance!C1275</f>
        <v>27.61</v>
      </c>
    </row>
    <row r="1383" spans="1:2" ht="15" customHeight="1">
      <c r="A1383" s="8">
        <f>Insurance!A1276</f>
        <v>26</v>
      </c>
      <c r="B1383" s="7">
        <f>Insurance!C1276</f>
        <v>27.06</v>
      </c>
    </row>
    <row r="1384" spans="1:2" ht="15" customHeight="1">
      <c r="A1384" s="8">
        <f>Insurance!A1277</f>
        <v>57</v>
      </c>
      <c r="B1384" s="7">
        <f>Insurance!C1277</f>
        <v>23.7</v>
      </c>
    </row>
    <row r="1385" spans="1:2" ht="15" customHeight="1">
      <c r="A1385" s="8">
        <f>Insurance!A1278</f>
        <v>22</v>
      </c>
      <c r="B1385" s="7">
        <f>Insurance!C1278</f>
        <v>30.4</v>
      </c>
    </row>
    <row r="1386" spans="1:2" ht="15" customHeight="1">
      <c r="A1386" s="8">
        <f>Insurance!A1279</f>
        <v>32</v>
      </c>
      <c r="B1386" s="7">
        <f>Insurance!C1279</f>
        <v>29.734999999999999</v>
      </c>
    </row>
    <row r="1387" spans="1:2" ht="15" customHeight="1">
      <c r="A1387" s="8">
        <f>Insurance!A1280</f>
        <v>39</v>
      </c>
      <c r="B1387" s="7">
        <f>Insurance!C1280</f>
        <v>29.925000000000001</v>
      </c>
    </row>
    <row r="1388" spans="1:2" ht="15" customHeight="1">
      <c r="A1388" s="8">
        <f>Insurance!A1281</f>
        <v>25</v>
      </c>
      <c r="B1388" s="7">
        <f>Insurance!C1281</f>
        <v>26.79</v>
      </c>
    </row>
    <row r="1389" spans="1:2" ht="15" customHeight="1">
      <c r="A1389" s="8">
        <f>Insurance!A1282</f>
        <v>48</v>
      </c>
      <c r="B1389" s="7">
        <f>Insurance!C1282</f>
        <v>33.33</v>
      </c>
    </row>
    <row r="1390" spans="1:2" ht="15" customHeight="1">
      <c r="A1390" s="8">
        <f>Insurance!A1283</f>
        <v>47</v>
      </c>
      <c r="B1390" s="7">
        <f>Insurance!C1283</f>
        <v>27.645</v>
      </c>
    </row>
    <row r="1391" spans="1:2" ht="15" customHeight="1">
      <c r="A1391" s="8">
        <f>Insurance!A1284</f>
        <v>18</v>
      </c>
      <c r="B1391" s="7">
        <f>Insurance!C1284</f>
        <v>21.66</v>
      </c>
    </row>
    <row r="1392" spans="1:2" ht="15" customHeight="1">
      <c r="A1392" s="8">
        <f>Insurance!A1285</f>
        <v>18</v>
      </c>
      <c r="B1392" s="7">
        <f>Insurance!C1285</f>
        <v>30.03</v>
      </c>
    </row>
    <row r="1393" spans="1:2" ht="15" customHeight="1">
      <c r="A1393" s="8">
        <f>Insurance!A1286</f>
        <v>61</v>
      </c>
      <c r="B1393" s="7">
        <f>Insurance!C1286</f>
        <v>36.299999999999997</v>
      </c>
    </row>
    <row r="1394" spans="1:2" ht="15" customHeight="1">
      <c r="A1394" s="8">
        <f>Insurance!A1287</f>
        <v>47</v>
      </c>
      <c r="B1394" s="7">
        <f>Insurance!C1287</f>
        <v>24.32</v>
      </c>
    </row>
    <row r="1395" spans="1:2" ht="15" customHeight="1">
      <c r="A1395" s="8">
        <f>Insurance!A1288</f>
        <v>28</v>
      </c>
      <c r="B1395" s="7">
        <f>Insurance!C1288</f>
        <v>17.29</v>
      </c>
    </row>
    <row r="1396" spans="1:2" ht="15" customHeight="1">
      <c r="A1396" s="8">
        <f>Insurance!A1289</f>
        <v>36</v>
      </c>
      <c r="B1396" s="7">
        <f>Insurance!C1289</f>
        <v>25.9</v>
      </c>
    </row>
    <row r="1397" spans="1:2" ht="15" customHeight="1">
      <c r="A1397" s="8">
        <f>Insurance!A1290</f>
        <v>20</v>
      </c>
      <c r="B1397" s="7">
        <f>Insurance!C1290</f>
        <v>39.4</v>
      </c>
    </row>
    <row r="1398" spans="1:2" ht="15" customHeight="1">
      <c r="A1398" s="8">
        <f>Insurance!A1291</f>
        <v>44</v>
      </c>
      <c r="B1398" s="7">
        <f>Insurance!C1291</f>
        <v>34.32</v>
      </c>
    </row>
    <row r="1399" spans="1:2" ht="15" customHeight="1">
      <c r="A1399" s="8">
        <f>Insurance!A1292</f>
        <v>38</v>
      </c>
      <c r="B1399" s="7">
        <f>Insurance!C1292</f>
        <v>19.95</v>
      </c>
    </row>
    <row r="1400" spans="1:2" ht="15" customHeight="1">
      <c r="A1400" s="8">
        <f>Insurance!A1293</f>
        <v>19</v>
      </c>
      <c r="B1400" s="7">
        <f>Insurance!C1293</f>
        <v>34.9</v>
      </c>
    </row>
    <row r="1401" spans="1:2" ht="15" customHeight="1">
      <c r="A1401" s="8">
        <f>Insurance!A1294</f>
        <v>21</v>
      </c>
      <c r="B1401" s="7">
        <f>Insurance!C1294</f>
        <v>23.21</v>
      </c>
    </row>
    <row r="1402" spans="1:2" ht="15" customHeight="1">
      <c r="A1402" s="8">
        <f>Insurance!A1295</f>
        <v>46</v>
      </c>
      <c r="B1402" s="7">
        <f>Insurance!C1295</f>
        <v>25.745000000000001</v>
      </c>
    </row>
    <row r="1403" spans="1:2" ht="15" customHeight="1">
      <c r="A1403" s="8">
        <f>Insurance!A1296</f>
        <v>58</v>
      </c>
      <c r="B1403" s="7">
        <f>Insurance!C1296</f>
        <v>25.175000000000001</v>
      </c>
    </row>
    <row r="1404" spans="1:2" ht="15" customHeight="1">
      <c r="A1404" s="8">
        <f>Insurance!A1297</f>
        <v>20</v>
      </c>
      <c r="B1404" s="7">
        <f>Insurance!C1297</f>
        <v>22</v>
      </c>
    </row>
    <row r="1405" spans="1:2" ht="15" customHeight="1">
      <c r="A1405" s="8">
        <f>Insurance!A1298</f>
        <v>18</v>
      </c>
      <c r="B1405" s="7">
        <f>Insurance!C1298</f>
        <v>26.125</v>
      </c>
    </row>
    <row r="1406" spans="1:2" ht="15" customHeight="1">
      <c r="A1406" s="8">
        <f>Insurance!A1299</f>
        <v>28</v>
      </c>
      <c r="B1406" s="7">
        <f>Insurance!C1299</f>
        <v>26.51</v>
      </c>
    </row>
    <row r="1407" spans="1:2" ht="15" customHeight="1">
      <c r="A1407" s="8">
        <f>Insurance!A1300</f>
        <v>33</v>
      </c>
      <c r="B1407" s="7">
        <f>Insurance!C1300</f>
        <v>27.454999999999998</v>
      </c>
    </row>
    <row r="1408" spans="1:2" ht="15" customHeight="1">
      <c r="A1408" s="8">
        <f>Insurance!A1301</f>
        <v>19</v>
      </c>
      <c r="B1408" s="7">
        <f>Insurance!C1301</f>
        <v>25.745000000000001</v>
      </c>
    </row>
    <row r="1409" spans="1:2" ht="15" customHeight="1">
      <c r="A1409" s="8">
        <f>Insurance!A1302</f>
        <v>45</v>
      </c>
      <c r="B1409" s="7">
        <f>Insurance!C1302</f>
        <v>30.36</v>
      </c>
    </row>
    <row r="1410" spans="1:2" ht="15" customHeight="1">
      <c r="A1410" s="8">
        <f>Insurance!A1303</f>
        <v>62</v>
      </c>
      <c r="B1410" s="7">
        <f>Insurance!C1303</f>
        <v>30.875</v>
      </c>
    </row>
    <row r="1411" spans="1:2" ht="15" customHeight="1">
      <c r="A1411" s="8">
        <f>Insurance!A1304</f>
        <v>25</v>
      </c>
      <c r="B1411" s="7">
        <f>Insurance!C1304</f>
        <v>20.8</v>
      </c>
    </row>
    <row r="1412" spans="1:2" ht="15" customHeight="1">
      <c r="A1412" s="8">
        <f>Insurance!A1305</f>
        <v>43</v>
      </c>
      <c r="B1412" s="7">
        <f>Insurance!C1305</f>
        <v>27.8</v>
      </c>
    </row>
    <row r="1413" spans="1:2" ht="15" customHeight="1">
      <c r="A1413" s="8">
        <f>Insurance!A1306</f>
        <v>42</v>
      </c>
      <c r="B1413" s="7">
        <f>Insurance!C1306</f>
        <v>24.605</v>
      </c>
    </row>
    <row r="1414" spans="1:2" ht="15" customHeight="1">
      <c r="A1414" s="8">
        <f>Insurance!A1307</f>
        <v>24</v>
      </c>
      <c r="B1414" s="7">
        <f>Insurance!C1307</f>
        <v>27.72</v>
      </c>
    </row>
    <row r="1415" spans="1:2" ht="15" customHeight="1">
      <c r="A1415" s="8">
        <f>Insurance!A1308</f>
        <v>29</v>
      </c>
      <c r="B1415" s="7">
        <f>Insurance!C1308</f>
        <v>21.85</v>
      </c>
    </row>
    <row r="1416" spans="1:2" ht="15" customHeight="1">
      <c r="A1416" s="8">
        <f>Insurance!A1309</f>
        <v>32</v>
      </c>
      <c r="B1416" s="7">
        <f>Insurance!C1309</f>
        <v>28.12</v>
      </c>
    </row>
    <row r="1417" spans="1:2" ht="15" customHeight="1">
      <c r="A1417" s="8">
        <f>Insurance!A1310</f>
        <v>25</v>
      </c>
      <c r="B1417" s="7">
        <f>Insurance!C1310</f>
        <v>30.2</v>
      </c>
    </row>
    <row r="1418" spans="1:2" ht="15" customHeight="1">
      <c r="A1418" s="8">
        <f>Insurance!A1311</f>
        <v>41</v>
      </c>
      <c r="B1418" s="7">
        <f>Insurance!C1311</f>
        <v>32.200000000000003</v>
      </c>
    </row>
    <row r="1419" spans="1:2" ht="15" customHeight="1">
      <c r="A1419" s="8">
        <f>Insurance!A1312</f>
        <v>42</v>
      </c>
      <c r="B1419" s="7">
        <f>Insurance!C1312</f>
        <v>26.315000000000001</v>
      </c>
    </row>
    <row r="1420" spans="1:2" ht="15" customHeight="1">
      <c r="A1420" s="8">
        <f>Insurance!A1313</f>
        <v>33</v>
      </c>
      <c r="B1420" s="7">
        <f>Insurance!C1313</f>
        <v>26.695</v>
      </c>
    </row>
    <row r="1421" spans="1:2" ht="15" customHeight="1">
      <c r="A1421" s="8">
        <f>Insurance!A1314</f>
        <v>34</v>
      </c>
      <c r="B1421" s="7">
        <f>Insurance!C1314</f>
        <v>42.9</v>
      </c>
    </row>
    <row r="1422" spans="1:2" ht="15" customHeight="1">
      <c r="A1422" s="8">
        <f>Insurance!A1315</f>
        <v>19</v>
      </c>
      <c r="B1422" s="7">
        <f>Insurance!C1315</f>
        <v>34.700000000000003</v>
      </c>
    </row>
    <row r="1423" spans="1:2" ht="15" customHeight="1">
      <c r="A1423" s="8">
        <f>Insurance!A1316</f>
        <v>30</v>
      </c>
      <c r="B1423" s="7">
        <f>Insurance!C1316</f>
        <v>23.655000000000001</v>
      </c>
    </row>
    <row r="1424" spans="1:2" ht="15" customHeight="1">
      <c r="A1424" s="8">
        <f>Insurance!A1317</f>
        <v>18</v>
      </c>
      <c r="B1424" s="7">
        <f>Insurance!C1317</f>
        <v>28.31</v>
      </c>
    </row>
    <row r="1425" spans="1:2" ht="15" customHeight="1">
      <c r="A1425" s="8">
        <f>Insurance!A1318</f>
        <v>19</v>
      </c>
      <c r="B1425" s="7">
        <f>Insurance!C1318</f>
        <v>20.6</v>
      </c>
    </row>
    <row r="1426" spans="1:2" ht="15" customHeight="1">
      <c r="A1426" s="8">
        <f>Insurance!A1319</f>
        <v>18</v>
      </c>
      <c r="B1426" s="7">
        <f>Insurance!C1319</f>
        <v>53.13</v>
      </c>
    </row>
    <row r="1427" spans="1:2" ht="15" customHeight="1">
      <c r="A1427" s="8">
        <f>Insurance!A1320</f>
        <v>35</v>
      </c>
      <c r="B1427" s="7">
        <f>Insurance!C1320</f>
        <v>39.71</v>
      </c>
    </row>
    <row r="1428" spans="1:2" ht="15" customHeight="1">
      <c r="A1428" s="8">
        <f>Insurance!A1321</f>
        <v>39</v>
      </c>
      <c r="B1428" s="7">
        <f>Insurance!C1321</f>
        <v>26.315000000000001</v>
      </c>
    </row>
    <row r="1429" spans="1:2" ht="15" customHeight="1">
      <c r="A1429" s="8">
        <f>Insurance!A1322</f>
        <v>31</v>
      </c>
      <c r="B1429" s="7">
        <f>Insurance!C1322</f>
        <v>31.065000000000001</v>
      </c>
    </row>
    <row r="1430" spans="1:2" ht="15" customHeight="1">
      <c r="A1430" s="8">
        <f>Insurance!A1323</f>
        <v>62</v>
      </c>
      <c r="B1430" s="7">
        <f>Insurance!C1323</f>
        <v>26.695</v>
      </c>
    </row>
    <row r="1431" spans="1:2" ht="15" customHeight="1">
      <c r="A1431" s="8">
        <f>Insurance!A1324</f>
        <v>62</v>
      </c>
      <c r="B1431" s="7">
        <f>Insurance!C1324</f>
        <v>38.83</v>
      </c>
    </row>
    <row r="1432" spans="1:2" ht="15" customHeight="1">
      <c r="A1432" s="8">
        <f>Insurance!A1325</f>
        <v>42</v>
      </c>
      <c r="B1432" s="7">
        <f>Insurance!C1325</f>
        <v>40.369999999999997</v>
      </c>
    </row>
    <row r="1433" spans="1:2" ht="15" customHeight="1">
      <c r="A1433" s="8">
        <f>Insurance!A1326</f>
        <v>31</v>
      </c>
      <c r="B1433" s="7">
        <f>Insurance!C1326</f>
        <v>25.934999999999999</v>
      </c>
    </row>
    <row r="1434" spans="1:2" ht="15" customHeight="1">
      <c r="A1434" s="8">
        <f>Insurance!A1327</f>
        <v>61</v>
      </c>
      <c r="B1434" s="7">
        <f>Insurance!C1327</f>
        <v>33.534999999999997</v>
      </c>
    </row>
    <row r="1435" spans="1:2" ht="15" customHeight="1">
      <c r="A1435" s="8">
        <f>Insurance!A1328</f>
        <v>42</v>
      </c>
      <c r="B1435" s="7">
        <f>Insurance!C1328</f>
        <v>32.869999999999997</v>
      </c>
    </row>
    <row r="1436" spans="1:2" ht="15" customHeight="1">
      <c r="A1436" s="8">
        <f>Insurance!A1329</f>
        <v>51</v>
      </c>
      <c r="B1436" s="7">
        <f>Insurance!C1329</f>
        <v>30.03</v>
      </c>
    </row>
    <row r="1437" spans="1:2" ht="15" customHeight="1">
      <c r="A1437" s="8">
        <f>Insurance!A1330</f>
        <v>23</v>
      </c>
      <c r="B1437" s="7">
        <f>Insurance!C1330</f>
        <v>24.225000000000001</v>
      </c>
    </row>
    <row r="1438" spans="1:2" ht="15" customHeight="1">
      <c r="A1438" s="8">
        <f>Insurance!A1331</f>
        <v>52</v>
      </c>
      <c r="B1438" s="7">
        <f>Insurance!C1331</f>
        <v>38.6</v>
      </c>
    </row>
    <row r="1439" spans="1:2" ht="15" customHeight="1">
      <c r="A1439" s="8">
        <f>Insurance!A1332</f>
        <v>57</v>
      </c>
      <c r="B1439" s="7">
        <f>Insurance!C1332</f>
        <v>25.74</v>
      </c>
    </row>
    <row r="1440" spans="1:2" ht="15" customHeight="1">
      <c r="A1440" s="8">
        <f>Insurance!A1333</f>
        <v>23</v>
      </c>
      <c r="B1440" s="7">
        <f>Insurance!C1333</f>
        <v>33.4</v>
      </c>
    </row>
    <row r="1441" spans="1:2" ht="15" customHeight="1">
      <c r="A1441" s="8">
        <f>Insurance!A1334</f>
        <v>52</v>
      </c>
      <c r="B1441" s="7">
        <f>Insurance!C1334</f>
        <v>44.7</v>
      </c>
    </row>
    <row r="1442" spans="1:2" ht="15" customHeight="1">
      <c r="A1442" s="8">
        <f>Insurance!A1335</f>
        <v>50</v>
      </c>
      <c r="B1442" s="7">
        <f>Insurance!C1335</f>
        <v>30.97</v>
      </c>
    </row>
    <row r="1443" spans="1:2" ht="15" customHeight="1">
      <c r="A1443" s="8">
        <f>Insurance!A1336</f>
        <v>18</v>
      </c>
      <c r="B1443" s="7">
        <f>Insurance!C1336</f>
        <v>31.92</v>
      </c>
    </row>
    <row r="1444" spans="1:2" ht="15" customHeight="1">
      <c r="A1444" s="8">
        <f>Insurance!A1337</f>
        <v>18</v>
      </c>
      <c r="B1444" s="7">
        <f>Insurance!C1337</f>
        <v>36.85</v>
      </c>
    </row>
    <row r="1445" spans="1:2" ht="15" customHeight="1">
      <c r="A1445" s="8">
        <f>Insurance!A1338</f>
        <v>21</v>
      </c>
      <c r="B1445" s="7">
        <f>Insurance!C1338</f>
        <v>25.8</v>
      </c>
    </row>
    <row r="1446" spans="1:2" ht="15" customHeight="1">
      <c r="A1446" s="8">
        <f>Insurance!A1339</f>
        <v>61</v>
      </c>
      <c r="B1446" s="7">
        <f>Insurance!C1339</f>
        <v>29.07</v>
      </c>
    </row>
    <row r="1447" spans="1:2" ht="15" customHeight="1">
      <c r="A1447" s="8"/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C64F7-DFF7-914F-ACF6-05D4CAE9F719}">
  <dimension ref="A1:I21"/>
  <sheetViews>
    <sheetView workbookViewId="0">
      <selection activeCell="A19" sqref="A19"/>
    </sheetView>
  </sheetViews>
  <sheetFormatPr baseColWidth="10" defaultRowHeight="15"/>
  <cols>
    <col min="1" max="1" width="49.83203125" customWidth="1"/>
  </cols>
  <sheetData>
    <row r="1" spans="1:9">
      <c r="A1" t="s">
        <v>70</v>
      </c>
    </row>
    <row r="2" spans="1:9" ht="16" thickBot="1"/>
    <row r="3" spans="1:9">
      <c r="A3" s="13" t="s">
        <v>71</v>
      </c>
      <c r="B3" s="13"/>
    </row>
    <row r="4" spans="1:9">
      <c r="A4" s="10" t="s">
        <v>72</v>
      </c>
      <c r="B4" s="10">
        <v>0.34289721692639435</v>
      </c>
    </row>
    <row r="5" spans="1:9">
      <c r="A5" s="10" t="s">
        <v>73</v>
      </c>
      <c r="B5" s="10">
        <v>0.11757850137586673</v>
      </c>
    </row>
    <row r="6" spans="1:9">
      <c r="A6" s="10" t="s">
        <v>74</v>
      </c>
      <c r="B6" s="10">
        <v>0.11625553061331181</v>
      </c>
    </row>
    <row r="7" spans="1:9">
      <c r="A7" s="10" t="s">
        <v>75</v>
      </c>
      <c r="B7" s="10">
        <v>11388.221225989462</v>
      </c>
    </row>
    <row r="8" spans="1:9" ht="16" thickBot="1">
      <c r="A8" s="11" t="s">
        <v>76</v>
      </c>
      <c r="B8" s="11">
        <v>1337</v>
      </c>
    </row>
    <row r="10" spans="1:9" ht="16" thickBot="1">
      <c r="A10" t="s">
        <v>77</v>
      </c>
    </row>
    <row r="11" spans="1:9">
      <c r="A11" s="12"/>
      <c r="B11" s="12" t="s">
        <v>82</v>
      </c>
      <c r="C11" s="12" t="s">
        <v>83</v>
      </c>
      <c r="D11" s="12" t="s">
        <v>84</v>
      </c>
      <c r="E11" s="12" t="s">
        <v>85</v>
      </c>
      <c r="F11" s="12" t="s">
        <v>86</v>
      </c>
    </row>
    <row r="12" spans="1:9">
      <c r="A12" s="10" t="s">
        <v>78</v>
      </c>
      <c r="B12" s="10">
        <v>2</v>
      </c>
      <c r="C12" s="10">
        <v>23052575862.749878</v>
      </c>
      <c r="D12" s="10">
        <v>11526287931.374939</v>
      </c>
      <c r="E12" s="10">
        <v>88.874603055323007</v>
      </c>
      <c r="F12" s="10">
        <v>5.833720357981237E-37</v>
      </c>
    </row>
    <row r="13" spans="1:9">
      <c r="A13" s="10" t="s">
        <v>79</v>
      </c>
      <c r="B13" s="10">
        <v>1334</v>
      </c>
      <c r="C13" s="10">
        <v>173008571311.23065</v>
      </c>
      <c r="D13" s="10">
        <v>129691582.69207695</v>
      </c>
      <c r="E13" s="10"/>
      <c r="F13" s="10"/>
    </row>
    <row r="14" spans="1:9" ht="16" thickBot="1">
      <c r="A14" s="11" t="s">
        <v>80</v>
      </c>
      <c r="B14" s="11">
        <v>1336</v>
      </c>
      <c r="C14" s="11">
        <v>196061147173.98053</v>
      </c>
      <c r="D14" s="11"/>
      <c r="E14" s="11"/>
      <c r="F14" s="11"/>
    </row>
    <row r="15" spans="1:9" ht="16" thickBot="1"/>
    <row r="16" spans="1:9">
      <c r="A16" s="12"/>
      <c r="B16" s="12" t="s">
        <v>87</v>
      </c>
      <c r="C16" s="12" t="s">
        <v>75</v>
      </c>
      <c r="D16" s="12" t="s">
        <v>88</v>
      </c>
      <c r="E16" s="12" t="s">
        <v>89</v>
      </c>
      <c r="F16" s="12" t="s">
        <v>90</v>
      </c>
      <c r="G16" s="12" t="s">
        <v>91</v>
      </c>
      <c r="H16" s="12" t="s">
        <v>92</v>
      </c>
      <c r="I16" s="12" t="s">
        <v>93</v>
      </c>
    </row>
    <row r="17" spans="1:9">
      <c r="A17" s="10" t="s">
        <v>81</v>
      </c>
      <c r="B17" s="10">
        <v>-6470.2146481167911</v>
      </c>
      <c r="C17" s="10">
        <v>1745.1569487537299</v>
      </c>
      <c r="D17" s="10">
        <v>-3.707525934981017</v>
      </c>
      <c r="E17" s="10">
        <v>2.1787408715549379E-4</v>
      </c>
      <c r="F17" s="10">
        <v>-9893.76562236063</v>
      </c>
      <c r="G17" s="10">
        <v>-3046.663673872953</v>
      </c>
      <c r="H17" s="10">
        <v>-9893.76562236063</v>
      </c>
      <c r="I17" s="10">
        <v>-3046.663673872953</v>
      </c>
    </row>
    <row r="18" spans="1:9">
      <c r="A18" s="14" t="s">
        <v>60</v>
      </c>
      <c r="B18" s="10">
        <v>242.63750573614212</v>
      </c>
      <c r="C18" s="10">
        <v>22.31726801643153</v>
      </c>
      <c r="D18" s="10">
        <v>10.872186755004934</v>
      </c>
      <c r="E18" s="10">
        <v>1.9355514648537435E-26</v>
      </c>
      <c r="F18" s="10">
        <v>198.85674165376108</v>
      </c>
      <c r="G18" s="10">
        <v>286.41826981852319</v>
      </c>
      <c r="H18" s="10">
        <v>198.85674165376108</v>
      </c>
      <c r="I18" s="10">
        <v>286.41826981852319</v>
      </c>
    </row>
    <row r="19" spans="1:9" ht="16" thickBot="1">
      <c r="A19" s="15" t="s">
        <v>61</v>
      </c>
      <c r="B19" s="11">
        <v>333.31214417871979</v>
      </c>
      <c r="C19" s="11">
        <v>51.382154599979287</v>
      </c>
      <c r="D19" s="11">
        <v>6.486924240013364</v>
      </c>
      <c r="E19" s="11">
        <v>1.2313181371894514E-10</v>
      </c>
      <c r="F19" s="11">
        <v>232.51351654518294</v>
      </c>
      <c r="G19" s="11">
        <v>434.11077181225664</v>
      </c>
      <c r="H19" s="11">
        <v>232.51351654518294</v>
      </c>
      <c r="I19" s="11">
        <v>434.11077181225664</v>
      </c>
    </row>
    <row r="21" spans="1:9" ht="133">
      <c r="A21" s="16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30"/>
  <sheetViews>
    <sheetView zoomScale="150" zoomScaleNormal="150" workbookViewId="0"/>
  </sheetViews>
  <sheetFormatPr baseColWidth="10" defaultColWidth="14.5" defaultRowHeight="15" customHeight="1"/>
  <sheetData>
    <row r="1" spans="1:1" ht="15" customHeight="1">
      <c r="A1" s="21" t="s">
        <v>107</v>
      </c>
    </row>
    <row r="2" spans="1:1" ht="15" customHeight="1">
      <c r="A2" s="1" t="s">
        <v>108</v>
      </c>
    </row>
    <row r="4" spans="1:1" ht="15" customHeight="1">
      <c r="A4" s="21" t="s">
        <v>109</v>
      </c>
    </row>
    <row r="5" spans="1:1" ht="15" customHeight="1">
      <c r="A5" s="1" t="s">
        <v>110</v>
      </c>
    </row>
    <row r="7" spans="1:1" ht="15" customHeight="1">
      <c r="A7" s="21" t="s">
        <v>95</v>
      </c>
    </row>
    <row r="8" spans="1:1" ht="15" customHeight="1">
      <c r="A8" s="3" t="s">
        <v>96</v>
      </c>
    </row>
    <row r="9" spans="1:1" ht="15" customHeight="1">
      <c r="A9" s="1"/>
    </row>
    <row r="10" spans="1:1" ht="15" customHeight="1">
      <c r="A10" s="1" t="s">
        <v>97</v>
      </c>
    </row>
    <row r="11" spans="1:1" ht="15" customHeight="1">
      <c r="A11" s="1"/>
    </row>
    <row r="12" spans="1:1" ht="15" customHeight="1">
      <c r="A12" s="3" t="s">
        <v>98</v>
      </c>
    </row>
    <row r="13" spans="1:1" ht="15" customHeight="1">
      <c r="A13" s="1"/>
    </row>
    <row r="14" spans="1:1" ht="15" customHeight="1">
      <c r="A14" s="1" t="s">
        <v>99</v>
      </c>
    </row>
    <row r="15" spans="1:1" ht="15" customHeight="1">
      <c r="A15" s="1"/>
    </row>
    <row r="16" spans="1:1" ht="15" customHeight="1">
      <c r="A16" s="3" t="s">
        <v>100</v>
      </c>
    </row>
    <row r="17" spans="1:1" ht="15" customHeight="1">
      <c r="A17" s="1"/>
    </row>
    <row r="18" spans="1:1" ht="15" customHeight="1">
      <c r="A18" s="1" t="s">
        <v>53</v>
      </c>
    </row>
    <row r="19" spans="1:1" ht="15" customHeight="1">
      <c r="A19" s="1"/>
    </row>
    <row r="20" spans="1:1" ht="15" customHeight="1">
      <c r="A20" s="3" t="s">
        <v>101</v>
      </c>
    </row>
    <row r="21" spans="1:1" ht="15" customHeight="1">
      <c r="A21" s="1"/>
    </row>
    <row r="22" spans="1:1" ht="15" customHeight="1">
      <c r="A22" s="1" t="s">
        <v>102</v>
      </c>
    </row>
    <row r="23" spans="1:1" ht="15" customHeight="1">
      <c r="A23" s="1"/>
    </row>
    <row r="24" spans="1:1" ht="15" customHeight="1">
      <c r="A24" s="3" t="s">
        <v>103</v>
      </c>
    </row>
    <row r="25" spans="1:1" ht="15" customHeight="1">
      <c r="A25" s="1"/>
    </row>
    <row r="26" spans="1:1">
      <c r="A26" s="1" t="s">
        <v>104</v>
      </c>
    </row>
    <row r="27" spans="1:1">
      <c r="A27" s="1"/>
    </row>
    <row r="28" spans="1:1" ht="15" customHeight="1">
      <c r="A28" s="3" t="s">
        <v>105</v>
      </c>
    </row>
    <row r="29" spans="1:1" ht="15" customHeight="1">
      <c r="A29" s="1"/>
    </row>
    <row r="30" spans="1:1" ht="15" customHeight="1">
      <c r="A30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Insurance</vt:lpstr>
      <vt:lpstr>Data Dictionary</vt:lpstr>
      <vt:lpstr>Research Questions</vt:lpstr>
      <vt:lpstr>Analysis</vt:lpstr>
      <vt:lpstr>Regression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Envisionware</dc:creator>
  <cp:lastModifiedBy>chenier.brit@gmail.com</cp:lastModifiedBy>
  <dcterms:created xsi:type="dcterms:W3CDTF">2026-08-24T16:09:09Z</dcterms:created>
  <dcterms:modified xsi:type="dcterms:W3CDTF">2026-09-27T13:27:44Z</dcterms:modified>
</cp:coreProperties>
</file>